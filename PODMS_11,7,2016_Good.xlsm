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ndrew V\Documents\university\1A\MSCI 100\Term\"/>
    </mc:Choice>
  </mc:AlternateContent>
  <bookViews>
    <workbookView xWindow="0" yWindow="0" windowWidth="28800" windowHeight="12210"/>
  </bookViews>
  <sheets>
    <sheet name="Sheet1" sheetId="1" r:id="rId1"/>
    <sheet name="Sheet2" sheetId="2" r:id="rId2"/>
    <sheet name="Sheet3" sheetId="3" r:id="rId3"/>
    <sheet name="Sheet4" sheetId="4" r:id="rId4"/>
  </sheets>
  <externalReferences>
    <externalReference r:id="rId5"/>
  </externalReferences>
  <definedNames>
    <definedName name="Names">OFFSET([1]LIST!$D$2,0,0,COUNTA([1]LIST!$D:$D),1)</definedName>
    <definedName name="Names2.0">OFFSET([1]LIST!$B$2,0,0,COUNTA([1]LIST!$B:$B),1)</definedName>
    <definedName name="Names3.0">OFFSET([1]LIST!$D$2,0,0,COUNTA([1]LIST!$D:$D),1)</definedName>
    <definedName name="Names4.0">OFFSET(Sheet2!$A$2,,,COUNTA(Sheet2!$A:$A),)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1" i="1" l="1"/>
  <c r="L11" i="1" s="1"/>
  <c r="V5" i="1"/>
  <c r="K13" i="1"/>
  <c r="L13" i="1" s="1"/>
  <c r="K15" i="1"/>
  <c r="L15" i="1" s="1"/>
  <c r="K14" i="1"/>
  <c r="L14" i="1" s="1"/>
  <c r="K10" i="1"/>
  <c r="L10" i="1" s="1"/>
  <c r="D3" i="2" l="1"/>
  <c r="K5" i="3" l="1"/>
  <c r="K4" i="3"/>
  <c r="K3" i="3"/>
  <c r="K5" i="1"/>
  <c r="L5" i="1" s="1"/>
  <c r="K8" i="1"/>
  <c r="L8" i="1" s="1"/>
  <c r="K6" i="1"/>
  <c r="L6" i="1" s="1"/>
  <c r="K7" i="1"/>
  <c r="L7" i="1" s="1"/>
  <c r="K12" i="1"/>
  <c r="L12" i="1" s="1"/>
  <c r="K9" i="1"/>
  <c r="L9" i="1" s="1"/>
  <c r="M4" i="3" l="1"/>
  <c r="N4" i="3"/>
  <c r="O4" i="3" l="1"/>
  <c r="P4" i="3" s="1"/>
</calcChain>
</file>

<file path=xl/sharedStrings.xml><?xml version="1.0" encoding="utf-8"?>
<sst xmlns="http://schemas.openxmlformats.org/spreadsheetml/2006/main" count="81" uniqueCount="45">
  <si>
    <t>Status</t>
  </si>
  <si>
    <t>Tasks</t>
  </si>
  <si>
    <t>Assigned Staff</t>
  </si>
  <si>
    <t>Description</t>
  </si>
  <si>
    <t>hour log</t>
  </si>
  <si>
    <t>%done</t>
  </si>
  <si>
    <t>Deliverable</t>
  </si>
  <si>
    <r>
      <t>Priority (</t>
    </r>
    <r>
      <rPr>
        <sz val="11"/>
        <color rgb="FFFF0000"/>
        <rFont val="Calibri"/>
        <family val="2"/>
        <scheme val="minor"/>
      </rPr>
      <t>H</t>
    </r>
    <r>
      <rPr>
        <sz val="11"/>
        <color theme="1"/>
        <rFont val="Calibri"/>
        <family val="2"/>
        <scheme val="minor"/>
      </rPr>
      <t>,</t>
    </r>
    <r>
      <rPr>
        <sz val="11"/>
        <color rgb="FFFFFF00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>,</t>
    </r>
    <r>
      <rPr>
        <sz val="11"/>
        <color rgb="FF00B050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>)</t>
    </r>
  </si>
  <si>
    <t>H</t>
  </si>
  <si>
    <t>M</t>
  </si>
  <si>
    <t>L</t>
  </si>
  <si>
    <t>Andrew</t>
  </si>
  <si>
    <t>Hashim</t>
  </si>
  <si>
    <t>Queenie</t>
  </si>
  <si>
    <t>Melissa</t>
  </si>
  <si>
    <t>Sidhant</t>
  </si>
  <si>
    <t>Bob</t>
  </si>
  <si>
    <t>Liam</t>
  </si>
  <si>
    <t>achieved</t>
  </si>
  <si>
    <t>weight</t>
  </si>
  <si>
    <t>Column1</t>
  </si>
  <si>
    <t>percent Complete</t>
  </si>
  <si>
    <t>Percent Incomplete</t>
  </si>
  <si>
    <t>Dick</t>
  </si>
  <si>
    <t>Fuck</t>
  </si>
  <si>
    <t>poop</t>
  </si>
  <si>
    <t>Jord</t>
  </si>
  <si>
    <t>Dog</t>
  </si>
  <si>
    <t>Cat</t>
  </si>
  <si>
    <t>Mercedes</t>
  </si>
  <si>
    <t>Doug</t>
  </si>
  <si>
    <t>Date</t>
  </si>
  <si>
    <t>Name</t>
  </si>
  <si>
    <t>Urgent Messages</t>
  </si>
  <si>
    <t>Deadline (mm/dd/yyyy)</t>
  </si>
  <si>
    <t>Ideas</t>
  </si>
  <si>
    <t>Help</t>
  </si>
  <si>
    <t>Other Comments</t>
  </si>
  <si>
    <t>Meeting Dates</t>
  </si>
  <si>
    <t>Meeting Topic</t>
  </si>
  <si>
    <t>Finish Prototype</t>
  </si>
  <si>
    <t>Giggles</t>
  </si>
  <si>
    <t>Leo</t>
  </si>
  <si>
    <t>Enter Employee Names Below</t>
  </si>
  <si>
    <t>Piggy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</si>
</sst>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yy;@"/>
  </numFmts>
  <fonts count="14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 shrinkToFit="1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9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9" fontId="0" fillId="0" borderId="0" xfId="1" applyFont="1"/>
    <xf numFmtId="9" fontId="0" fillId="0" borderId="0" xfId="0" applyNumberFormat="1"/>
    <xf numFmtId="0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NumberFormat="1"/>
    <xf numFmtId="9" fontId="0" fillId="0" borderId="0" xfId="1" applyFont="1" applyAlignment="1">
      <alignment horizontal="center" vertical="center"/>
    </xf>
    <xf numFmtId="9" fontId="8" fillId="0" borderId="0" xfId="1" applyFont="1" applyAlignment="1">
      <alignment horizontal="center"/>
    </xf>
    <xf numFmtId="0" fontId="9" fillId="0" borderId="0" xfId="0" applyFont="1" applyAlignment="1">
      <alignment vertical="center"/>
    </xf>
    <xf numFmtId="14" fontId="0" fillId="0" borderId="0" xfId="0" applyNumberFormat="1"/>
    <xf numFmtId="0" fontId="10" fillId="0" borderId="0" xfId="0" applyFont="1" applyFill="1" applyAlignment="1">
      <alignment horizontal="center" vertical="center"/>
    </xf>
    <xf numFmtId="14" fontId="10" fillId="0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49" fontId="12" fillId="0" borderId="0" xfId="0" applyNumberFormat="1" applyFont="1" applyAlignment="1">
      <alignment horizontal="center"/>
    </xf>
    <xf numFmtId="9" fontId="12" fillId="0" borderId="0" xfId="1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1" fillId="0" borderId="0" xfId="0" applyFont="1" applyFill="1" applyAlignment="1">
      <alignment horizontal="center" vertical="center"/>
    </xf>
    <xf numFmtId="164" fontId="11" fillId="0" borderId="0" xfId="0" applyNumberFormat="1" applyFont="1" applyFill="1" applyAlignment="1">
      <alignment horizontal="center" vertical="center"/>
    </xf>
    <xf numFmtId="0" fontId="10" fillId="0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15" fontId="0" fillId="0" borderId="0" xfId="0" applyNumberFormat="1" applyAlignment="1">
      <alignment horizontal="center" vertical="center"/>
    </xf>
    <xf numFmtId="0" fontId="0" fillId="5" borderId="7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0" fillId="4" borderId="7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10" fillId="5" borderId="1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10" fillId="4" borderId="1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7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10" fillId="4" borderId="8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0" fillId="2" borderId="1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23"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[$-409]d\-mmm\-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color rgb="FFFF0000"/>
      </font>
    </dxf>
    <dxf>
      <font>
        <b/>
        <i val="0"/>
        <color theme="7" tint="-0.24994659260841701"/>
      </font>
    </dxf>
    <dxf>
      <font>
        <b/>
        <i val="0"/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5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500" b="1" baseline="0"/>
              <a:t>Overall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5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318-4B69-AA3D-FFDCB805B6E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318-4B69-AA3D-FFDCB805B6E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Sheet3!$O$3:$P$3</c:f>
              <c:strCache>
                <c:ptCount val="2"/>
                <c:pt idx="0">
                  <c:v>percent Complete</c:v>
                </c:pt>
                <c:pt idx="1">
                  <c:v>Percent Incomplete</c:v>
                </c:pt>
              </c:strCache>
            </c:strRef>
          </c:cat>
          <c:val>
            <c:numRef>
              <c:f>Sheet3!$O$4:$P$4</c:f>
              <c:numCache>
                <c:formatCode>0%</c:formatCode>
                <c:ptCount val="2"/>
                <c:pt idx="0">
                  <c:v>0.42840909090909096</c:v>
                </c:pt>
                <c:pt idx="1">
                  <c:v>0.57159090909090904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18-4B69-AA3D-FFDCB805B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15000">
          <a:schemeClr val="accent1">
            <a:lumMod val="5000"/>
            <a:lumOff val="95000"/>
          </a:schemeClr>
        </a:gs>
        <a:gs pos="39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path path="circle">
        <a:fillToRect l="100000" t="100000"/>
      </a:path>
      <a:tileRect r="-100000" b="-100000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0</xdr:row>
          <xdr:rowOff>47625</xdr:rowOff>
        </xdr:from>
        <xdr:to>
          <xdr:col>5</xdr:col>
          <xdr:colOff>428625</xdr:colOff>
          <xdr:row>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38100</xdr:rowOff>
        </xdr:from>
        <xdr:to>
          <xdr:col>9</xdr:col>
          <xdr:colOff>180975</xdr:colOff>
          <xdr:row>2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Last Row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76200</xdr:rowOff>
        </xdr:from>
        <xdr:to>
          <xdr:col>14</xdr:col>
          <xdr:colOff>1085850</xdr:colOff>
          <xdr:row>2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1152525</xdr:colOff>
          <xdr:row>0</xdr:row>
          <xdr:rowOff>76200</xdr:rowOff>
        </xdr:from>
        <xdr:to>
          <xdr:col>14</xdr:col>
          <xdr:colOff>3057525</xdr:colOff>
          <xdr:row>2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542925</xdr:colOff>
          <xdr:row>38</xdr:row>
          <xdr:rowOff>152400</xdr:rowOff>
        </xdr:from>
        <xdr:to>
          <xdr:col>22</xdr:col>
          <xdr:colOff>47625</xdr:colOff>
          <xdr:row>46</xdr:row>
          <xdr:rowOff>104775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urgent messages by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0</xdr:row>
          <xdr:rowOff>47625</xdr:rowOff>
        </xdr:from>
        <xdr:to>
          <xdr:col>10</xdr:col>
          <xdr:colOff>523875</xdr:colOff>
          <xdr:row>2</xdr:row>
          <xdr:rowOff>123825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main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1266824</xdr:colOff>
      <xdr:row>0</xdr:row>
      <xdr:rowOff>104774</xdr:rowOff>
    </xdr:from>
    <xdr:to>
      <xdr:col>19</xdr:col>
      <xdr:colOff>438149</xdr:colOff>
      <xdr:row>23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LIST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Table1" displayName="Table1" ref="B4:L15" totalsRowShown="0" headerRowDxfId="17" dataDxfId="16">
  <autoFilter ref="B4:L1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sortState ref="B5:L15">
    <sortCondition ref="D4:D15"/>
  </sortState>
  <tableColumns count="11">
    <tableColumn id="1" name="Status" dataDxfId="15"/>
    <tableColumn id="2" name="Tasks" dataDxfId="14"/>
    <tableColumn id="3" name="Deadline (mm/dd/yyyy)" dataDxfId="13"/>
    <tableColumn id="4" name="Priority (H,M,L)" dataDxfId="12"/>
    <tableColumn id="5" name="Assigned Staff" dataDxfId="11"/>
    <tableColumn id="6" name="Description" dataDxfId="10"/>
    <tableColumn id="7" name="hour log" dataDxfId="9" dataCellStyle="Percent"/>
    <tableColumn id="8" name="%done" dataDxfId="8" dataCellStyle="Percent"/>
    <tableColumn id="9" name="Deliverable" dataDxfId="7"/>
    <tableColumn id="12" name="weight" dataDxfId="6">
      <calculatedColumnFormula>IF(E5="H",6,IF(E5="M",3,IF(E5="L",1,"")))</calculatedColumnFormula>
    </tableColumn>
    <tableColumn id="13" name="achieved" dataDxfId="5">
      <calculatedColumnFormula>I5*K5</calculatedColumnFormula>
    </tableColumn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8" name="Table229" displayName="Table229" ref="T1:T1048556" totalsRowShown="0">
  <autoFilter ref="T1:T1048556"/>
  <sortState ref="T2:T18">
    <sortCondition descending="1" ref="T1:T18"/>
  </sortState>
  <tableColumns count="1">
    <tableColumn id="1" name="Column1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N4:P10" totalsRowShown="0" headerRowDxfId="4">
  <autoFilter ref="N4:P10">
    <filterColumn colId="0" hiddenButton="1"/>
    <filterColumn colId="1" hiddenButton="1"/>
    <filterColumn colId="2" hiddenButton="1"/>
  </autoFilter>
  <sortState ref="N5:P8">
    <sortCondition ref="P39:P43"/>
  </sortState>
  <tableColumns count="3">
    <tableColumn id="1" name="Name" dataDxfId="3"/>
    <tableColumn id="2" name="Urgent Messages" dataDxfId="2"/>
    <tableColumn id="3" name="Date" dataDxfId="1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N5:O223" totalsRowShown="0">
  <autoFilter ref="N5:O223"/>
  <tableColumns count="2">
    <tableColumn id="1" name="Date"/>
    <tableColumn id="2" name="Meeting Topic" data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V1048567"/>
  <sheetViews>
    <sheetView tabSelected="1" zoomScale="90" zoomScaleNormal="90" workbookViewId="0">
      <selection activeCell="I23" sqref="I23"/>
    </sheetView>
  </sheetViews>
  <sheetFormatPr defaultRowHeight="15"/>
  <cols>
    <col min="3" max="3" width="34.28515625" customWidth="1"/>
    <col min="4" max="4" width="15.5703125" customWidth="1"/>
    <col min="5" max="5" width="11.28515625" customWidth="1"/>
    <col min="6" max="6" width="21" customWidth="1"/>
    <col min="7" max="7" width="33.7109375" customWidth="1"/>
    <col min="8" max="8" width="10.42578125" style="11" customWidth="1"/>
    <col min="9" max="9" width="10.28515625" customWidth="1"/>
    <col min="10" max="10" width="36" customWidth="1"/>
    <col min="11" max="11" width="10.7109375" customWidth="1"/>
    <col min="12" max="12" width="9.7109375" customWidth="1"/>
    <col min="14" max="14" width="17.140625" customWidth="1"/>
    <col min="15" max="15" width="46.85546875" customWidth="1"/>
    <col min="16" max="16" width="25.5703125" customWidth="1"/>
    <col min="18" max="19" width="4.7109375" customWidth="1"/>
    <col min="20" max="20" width="0" hidden="1" customWidth="1"/>
  </cols>
  <sheetData>
    <row r="1" spans="2:22">
      <c r="T1" t="s">
        <v>20</v>
      </c>
    </row>
    <row r="2" spans="2:22">
      <c r="T2" t="s">
        <v>11</v>
      </c>
    </row>
    <row r="3" spans="2:22">
      <c r="T3" t="s">
        <v>14</v>
      </c>
    </row>
    <row r="4" spans="2:22" ht="30">
      <c r="B4" s="2" t="s">
        <v>0</v>
      </c>
      <c r="C4" s="2" t="s">
        <v>1</v>
      </c>
      <c r="D4" s="4" t="s">
        <v>34</v>
      </c>
      <c r="E4" s="3" t="s">
        <v>7</v>
      </c>
      <c r="F4" s="2" t="s">
        <v>2</v>
      </c>
      <c r="G4" s="2" t="s">
        <v>3</v>
      </c>
      <c r="H4" s="16" t="s">
        <v>4</v>
      </c>
      <c r="I4" s="2" t="s">
        <v>5</v>
      </c>
      <c r="J4" s="2" t="s">
        <v>6</v>
      </c>
      <c r="K4" s="2" t="s">
        <v>19</v>
      </c>
      <c r="L4" s="2" t="s">
        <v>18</v>
      </c>
      <c r="N4" s="20" t="s">
        <v>32</v>
      </c>
      <c r="O4" s="20" t="s">
        <v>33</v>
      </c>
      <c r="P4" s="20" t="s">
        <v>31</v>
      </c>
      <c r="T4" t="s">
        <v>15</v>
      </c>
    </row>
    <row r="5" spans="2:22" ht="18.75">
      <c r="B5" s="1"/>
      <c r="C5" s="22"/>
      <c r="D5" s="26">
        <v>42005</v>
      </c>
      <c r="E5" s="24" t="s">
        <v>9</v>
      </c>
      <c r="F5" s="23" t="s">
        <v>41</v>
      </c>
      <c r="G5" s="23"/>
      <c r="H5" s="25"/>
      <c r="I5" s="25">
        <v>0.2</v>
      </c>
      <c r="J5" s="23"/>
      <c r="K5" s="13">
        <f t="shared" ref="K5:K15" si="0">IF(E5="H",6,IF(E5="M",3,IF(E5="L",1,"")))</f>
        <v>3</v>
      </c>
      <c r="L5" s="13">
        <f t="shared" ref="L5:L15" si="1">I5*K5</f>
        <v>0.60000000000000009</v>
      </c>
      <c r="N5" s="27"/>
      <c r="O5" s="27"/>
      <c r="P5" s="28">
        <v>42828</v>
      </c>
      <c r="T5" t="s">
        <v>16</v>
      </c>
      <c r="V5">
        <f>COUNTIF(Sheet2!A:A, "*") -1</f>
        <v>8</v>
      </c>
    </row>
    <row r="6" spans="2:22" ht="18.75">
      <c r="B6" s="1"/>
      <c r="C6" s="22"/>
      <c r="D6" s="26">
        <v>42501</v>
      </c>
      <c r="E6" s="24" t="s">
        <v>8</v>
      </c>
      <c r="F6" s="23" t="s">
        <v>12</v>
      </c>
      <c r="G6" s="23"/>
      <c r="H6" s="25"/>
      <c r="I6" s="25">
        <v>0.3</v>
      </c>
      <c r="J6" s="23"/>
      <c r="K6" s="13">
        <f t="shared" si="0"/>
        <v>6</v>
      </c>
      <c r="L6" s="13">
        <f t="shared" si="1"/>
        <v>1.7999999999999998</v>
      </c>
      <c r="N6" s="27"/>
      <c r="O6" s="27"/>
      <c r="P6" s="28">
        <v>42680</v>
      </c>
      <c r="T6" t="s">
        <v>23</v>
      </c>
    </row>
    <row r="7" spans="2:22" ht="18.75">
      <c r="B7" s="1"/>
      <c r="C7" s="22"/>
      <c r="D7" s="26">
        <v>42501</v>
      </c>
      <c r="E7" s="24" t="s">
        <v>9</v>
      </c>
      <c r="F7" s="23" t="s">
        <v>13</v>
      </c>
      <c r="G7" s="23"/>
      <c r="H7" s="25"/>
      <c r="I7" s="25">
        <v>0.75</v>
      </c>
      <c r="J7" s="23"/>
      <c r="K7" s="13">
        <f t="shared" si="0"/>
        <v>3</v>
      </c>
      <c r="L7" s="13">
        <f t="shared" si="1"/>
        <v>2.25</v>
      </c>
      <c r="N7" s="27"/>
      <c r="O7" s="27"/>
      <c r="P7" s="28">
        <v>42680</v>
      </c>
      <c r="T7" t="s">
        <v>24</v>
      </c>
    </row>
    <row r="8" spans="2:22" ht="18.75">
      <c r="B8" s="1"/>
      <c r="C8" s="22"/>
      <c r="D8" s="26">
        <v>42501</v>
      </c>
      <c r="E8" s="24" t="s">
        <v>8</v>
      </c>
      <c r="F8" s="23" t="s">
        <v>15</v>
      </c>
      <c r="G8" s="23"/>
      <c r="H8" s="25"/>
      <c r="I8" s="25">
        <v>0.2</v>
      </c>
      <c r="J8" s="23"/>
      <c r="K8" s="13">
        <f t="shared" si="0"/>
        <v>6</v>
      </c>
      <c r="L8" s="13">
        <f t="shared" si="1"/>
        <v>1.2000000000000002</v>
      </c>
      <c r="N8" s="27"/>
      <c r="O8" s="27"/>
      <c r="P8" s="28">
        <v>42680</v>
      </c>
      <c r="T8" t="s">
        <v>25</v>
      </c>
    </row>
    <row r="9" spans="2:22" ht="18.75">
      <c r="B9" s="1"/>
      <c r="C9" s="22"/>
      <c r="D9" s="26">
        <v>42875</v>
      </c>
      <c r="E9" s="24" t="s">
        <v>8</v>
      </c>
      <c r="F9" s="23" t="s">
        <v>11</v>
      </c>
      <c r="G9" s="23"/>
      <c r="H9" s="25"/>
      <c r="I9" s="25">
        <v>0.75</v>
      </c>
      <c r="J9" s="23"/>
      <c r="K9" s="13">
        <f t="shared" si="0"/>
        <v>6</v>
      </c>
      <c r="L9" s="13">
        <f t="shared" si="1"/>
        <v>4.5</v>
      </c>
      <c r="N9" s="27"/>
      <c r="O9" s="27"/>
      <c r="P9" s="28">
        <v>42680</v>
      </c>
      <c r="T9" t="s">
        <v>26</v>
      </c>
    </row>
    <row r="10" spans="2:22" ht="18.75">
      <c r="B10" s="1"/>
      <c r="C10" s="22"/>
      <c r="D10" s="26"/>
      <c r="E10" s="24" t="s">
        <v>10</v>
      </c>
      <c r="F10" s="23" t="s">
        <v>11</v>
      </c>
      <c r="G10" s="23"/>
      <c r="H10" s="25"/>
      <c r="I10" s="25">
        <v>0.25</v>
      </c>
      <c r="J10" s="23"/>
      <c r="K10" s="13">
        <f t="shared" si="0"/>
        <v>1</v>
      </c>
      <c r="L10" s="13">
        <f t="shared" si="1"/>
        <v>0.25</v>
      </c>
      <c r="N10" s="27"/>
      <c r="O10" s="27"/>
      <c r="P10" s="28">
        <v>42680</v>
      </c>
      <c r="T10" t="s">
        <v>17</v>
      </c>
    </row>
    <row r="11" spans="2:22" ht="18.75">
      <c r="B11" s="1"/>
      <c r="C11" s="22"/>
      <c r="D11" s="26"/>
      <c r="E11" s="24" t="s">
        <v>8</v>
      </c>
      <c r="F11" s="23" t="s">
        <v>42</v>
      </c>
      <c r="G11" s="23"/>
      <c r="H11" s="25"/>
      <c r="I11" s="25">
        <v>0.6</v>
      </c>
      <c r="J11" s="23"/>
      <c r="K11" s="13">
        <f t="shared" si="0"/>
        <v>6</v>
      </c>
      <c r="L11" s="13">
        <f t="shared" si="1"/>
        <v>3.5999999999999996</v>
      </c>
      <c r="T11" t="s">
        <v>27</v>
      </c>
    </row>
    <row r="12" spans="2:22" ht="18.75">
      <c r="B12" s="1"/>
      <c r="C12" s="22"/>
      <c r="D12" s="26"/>
      <c r="E12" s="24" t="s">
        <v>8</v>
      </c>
      <c r="F12" s="23" t="s">
        <v>14</v>
      </c>
      <c r="G12" s="23"/>
      <c r="H12" s="25"/>
      <c r="I12" s="25">
        <v>0.25</v>
      </c>
      <c r="J12" s="23"/>
      <c r="K12" s="13">
        <f t="shared" si="0"/>
        <v>6</v>
      </c>
      <c r="L12" s="13">
        <f t="shared" si="1"/>
        <v>1.5</v>
      </c>
      <c r="T12" t="s">
        <v>28</v>
      </c>
    </row>
    <row r="13" spans="2:22" ht="18.75">
      <c r="B13" s="1"/>
      <c r="C13" s="22"/>
      <c r="D13" s="26"/>
      <c r="E13" s="24" t="s">
        <v>9</v>
      </c>
      <c r="F13" s="23" t="s">
        <v>44</v>
      </c>
      <c r="G13" s="23"/>
      <c r="H13" s="25"/>
      <c r="I13" s="25">
        <v>0.3</v>
      </c>
      <c r="J13" s="23"/>
      <c r="K13" s="13">
        <f t="shared" si="0"/>
        <v>3</v>
      </c>
      <c r="L13" s="13">
        <f t="shared" si="1"/>
        <v>0.89999999999999991</v>
      </c>
      <c r="T13" t="s">
        <v>29</v>
      </c>
    </row>
    <row r="14" spans="2:22" ht="18.75">
      <c r="B14" s="1"/>
      <c r="C14" s="22"/>
      <c r="D14" s="26"/>
      <c r="E14" s="24" t="s">
        <v>9</v>
      </c>
      <c r="F14" s="23" t="s">
        <v>13</v>
      </c>
      <c r="G14" s="23"/>
      <c r="H14" s="25"/>
      <c r="I14" s="25">
        <v>0.5</v>
      </c>
      <c r="J14" s="23"/>
      <c r="K14" s="13">
        <f t="shared" si="0"/>
        <v>3</v>
      </c>
      <c r="L14" s="13">
        <f t="shared" si="1"/>
        <v>1.5</v>
      </c>
      <c r="T14" t="s">
        <v>30</v>
      </c>
    </row>
    <row r="15" spans="2:22" ht="18.75">
      <c r="B15" s="1"/>
      <c r="C15" s="22"/>
      <c r="D15" s="26"/>
      <c r="E15" s="24" t="s">
        <v>10</v>
      </c>
      <c r="F15" s="23" t="s">
        <v>15</v>
      </c>
      <c r="G15" s="23"/>
      <c r="H15" s="25"/>
      <c r="I15" s="25">
        <v>0.75</v>
      </c>
      <c r="J15" s="23"/>
      <c r="K15" s="13">
        <f t="shared" si="0"/>
        <v>1</v>
      </c>
      <c r="L15" s="13">
        <f t="shared" si="1"/>
        <v>0.75</v>
      </c>
    </row>
    <row r="31" spans="17:18">
      <c r="Q31" s="11"/>
      <c r="R31" s="12"/>
    </row>
    <row r="39" spans="14:16" ht="57" customHeight="1"/>
    <row r="40" spans="14:16" ht="18" customHeight="1"/>
    <row r="46" spans="14:16" ht="23.25">
      <c r="N46" s="20"/>
      <c r="O46" s="20"/>
      <c r="P46" s="21"/>
    </row>
    <row r="50" spans="2:12">
      <c r="B50" s="7"/>
      <c r="C50" s="2"/>
      <c r="D50" s="1"/>
      <c r="E50" s="5"/>
      <c r="F50" s="1"/>
      <c r="G50" s="1"/>
      <c r="H50" s="14"/>
      <c r="I50" s="7"/>
      <c r="J50" s="1"/>
    </row>
    <row r="51" spans="2:12">
      <c r="B51" s="7"/>
      <c r="C51" s="2"/>
      <c r="D51" s="1"/>
      <c r="E51" s="5"/>
      <c r="F51" s="1"/>
      <c r="G51" s="1"/>
      <c r="H51" s="14"/>
      <c r="I51" s="7"/>
      <c r="J51" s="1"/>
    </row>
    <row r="52" spans="2:12">
      <c r="B52" s="7"/>
      <c r="C52" s="2"/>
      <c r="D52" s="1"/>
      <c r="E52" s="5"/>
      <c r="F52" s="1"/>
      <c r="G52" s="1"/>
      <c r="H52" s="14"/>
      <c r="I52" s="7"/>
      <c r="J52" s="1"/>
      <c r="L52" s="2"/>
    </row>
    <row r="53" spans="2:12">
      <c r="B53" s="7"/>
      <c r="C53" s="2"/>
      <c r="D53" s="1"/>
      <c r="E53" s="5"/>
      <c r="F53" s="1"/>
      <c r="G53" s="1"/>
      <c r="H53" s="14"/>
      <c r="I53" s="7"/>
      <c r="J53" s="1"/>
      <c r="L53" s="1"/>
    </row>
    <row r="54" spans="2:12">
      <c r="B54" s="7"/>
      <c r="C54" s="2"/>
      <c r="D54" s="1"/>
      <c r="E54" s="5"/>
      <c r="F54" s="1"/>
      <c r="G54" s="1"/>
      <c r="H54" s="14"/>
      <c r="I54" s="7"/>
      <c r="J54" s="1"/>
      <c r="L54" s="13"/>
    </row>
    <row r="55" spans="2:12">
      <c r="B55" s="7"/>
      <c r="C55" s="2"/>
      <c r="D55" s="1"/>
      <c r="E55" s="5"/>
      <c r="F55" s="1"/>
      <c r="G55" s="1"/>
      <c r="H55" s="14"/>
      <c r="I55" s="7"/>
      <c r="J55" s="1"/>
    </row>
    <row r="56" spans="2:12">
      <c r="B56" s="7"/>
      <c r="C56" s="2"/>
      <c r="D56" s="1"/>
      <c r="E56" s="5"/>
      <c r="F56" s="1"/>
      <c r="G56" s="1"/>
      <c r="H56" s="14"/>
      <c r="I56" s="7"/>
      <c r="J56" s="1"/>
    </row>
    <row r="57" spans="2:12">
      <c r="B57" s="7"/>
      <c r="C57" s="2"/>
      <c r="D57" s="1"/>
      <c r="E57" s="5"/>
      <c r="F57" s="1"/>
      <c r="G57" s="1"/>
      <c r="H57" s="14"/>
      <c r="I57" s="7"/>
      <c r="J57" s="1"/>
    </row>
    <row r="58" spans="2:12">
      <c r="B58" s="7"/>
      <c r="C58" s="2"/>
      <c r="D58" s="1"/>
      <c r="E58" s="5"/>
      <c r="F58" s="1"/>
      <c r="G58" s="1"/>
      <c r="H58" s="14"/>
      <c r="I58" s="7"/>
      <c r="J58" s="1"/>
    </row>
    <row r="59" spans="2:12">
      <c r="B59" s="7"/>
      <c r="C59" s="2"/>
      <c r="D59" s="1"/>
      <c r="E59" s="5"/>
      <c r="F59" s="1"/>
      <c r="G59" s="1"/>
      <c r="H59" s="14"/>
      <c r="I59" s="7"/>
      <c r="J59" s="1"/>
      <c r="K59" s="13"/>
      <c r="L59" s="13"/>
    </row>
    <row r="60" spans="2:12">
      <c r="B60" s="7"/>
      <c r="C60" s="2"/>
      <c r="D60" s="1"/>
      <c r="E60" s="5"/>
      <c r="F60" s="1"/>
      <c r="G60" s="1"/>
      <c r="H60" s="14"/>
      <c r="I60" s="7"/>
      <c r="J60" s="1"/>
      <c r="K60" s="13"/>
      <c r="L60" s="13"/>
    </row>
    <row r="61" spans="2:12">
      <c r="B61" s="7"/>
      <c r="C61" s="2"/>
      <c r="D61" s="1"/>
      <c r="E61" s="5"/>
      <c r="F61" s="1"/>
      <c r="G61" s="1"/>
      <c r="H61" s="14"/>
      <c r="I61" s="7"/>
      <c r="J61" s="1"/>
      <c r="K61" s="13"/>
      <c r="L61" s="13"/>
    </row>
    <row r="62" spans="2:12">
      <c r="B62" s="7"/>
      <c r="C62" s="2"/>
      <c r="D62" s="1"/>
      <c r="E62" s="5"/>
      <c r="F62" s="1"/>
      <c r="G62" s="1"/>
      <c r="H62" s="14"/>
      <c r="I62" s="7"/>
      <c r="J62" s="1"/>
      <c r="K62" s="13"/>
      <c r="L62" s="13"/>
    </row>
    <row r="63" spans="2:12">
      <c r="B63" s="7"/>
      <c r="C63" s="2"/>
      <c r="D63" s="1"/>
      <c r="E63" s="5"/>
      <c r="F63" s="1"/>
      <c r="G63" s="1"/>
      <c r="H63" s="14"/>
      <c r="I63" s="7"/>
      <c r="J63" s="1"/>
      <c r="K63" s="13"/>
      <c r="L63" s="13"/>
    </row>
    <row r="64" spans="2:12">
      <c r="B64" s="7"/>
      <c r="C64" s="2"/>
      <c r="D64" s="1"/>
      <c r="E64" s="5"/>
      <c r="F64" s="1"/>
      <c r="G64" s="1"/>
      <c r="H64" s="14"/>
      <c r="I64" s="7"/>
      <c r="J64" s="1"/>
      <c r="K64" s="13"/>
      <c r="L64" s="13"/>
    </row>
    <row r="65" spans="2:12">
      <c r="B65" s="7"/>
      <c r="C65" s="2"/>
      <c r="D65" s="1"/>
      <c r="E65" s="5"/>
      <c r="F65" s="1"/>
      <c r="G65" s="1"/>
      <c r="H65" s="14"/>
      <c r="I65" s="7"/>
      <c r="J65" s="1"/>
      <c r="K65" s="13"/>
      <c r="L65" s="13"/>
    </row>
    <row r="66" spans="2:12">
      <c r="B66" s="7"/>
      <c r="C66" s="2"/>
      <c r="D66" s="1"/>
      <c r="E66" s="5"/>
      <c r="F66" s="1"/>
      <c r="G66" s="1"/>
      <c r="H66" s="14"/>
      <c r="I66" s="7"/>
      <c r="J66" s="1"/>
      <c r="K66" s="13"/>
      <c r="L66" s="13"/>
    </row>
    <row r="67" spans="2:12">
      <c r="B67" s="7"/>
      <c r="C67" s="2"/>
      <c r="D67" s="1"/>
      <c r="E67" s="5"/>
      <c r="F67" s="1"/>
      <c r="G67" s="1"/>
      <c r="H67" s="14"/>
      <c r="I67" s="7"/>
      <c r="J67" s="1"/>
      <c r="K67" s="13"/>
      <c r="L67" s="13"/>
    </row>
    <row r="68" spans="2:12">
      <c r="B68" s="7"/>
      <c r="C68" s="2"/>
      <c r="D68" s="1"/>
      <c r="E68" s="5"/>
      <c r="F68" s="1"/>
      <c r="G68" s="1"/>
      <c r="H68" s="14"/>
      <c r="I68" s="7"/>
      <c r="J68" s="1"/>
      <c r="K68" s="13"/>
      <c r="L68" s="13"/>
    </row>
    <row r="69" spans="2:12">
      <c r="B69" s="7"/>
      <c r="C69" s="2"/>
      <c r="D69" s="1"/>
      <c r="E69" s="5"/>
      <c r="F69" s="1"/>
      <c r="G69" s="1"/>
      <c r="H69" s="14"/>
      <c r="I69" s="7"/>
      <c r="J69" s="1"/>
      <c r="K69" s="13"/>
      <c r="L69" s="13"/>
    </row>
    <row r="70" spans="2:12">
      <c r="B70" s="1"/>
      <c r="C70" s="2"/>
      <c r="D70" s="1"/>
      <c r="E70" s="5"/>
      <c r="F70" s="1"/>
      <c r="G70" s="1"/>
      <c r="H70" s="14"/>
      <c r="I70" s="1"/>
      <c r="J70" s="1"/>
      <c r="K70" s="13"/>
      <c r="L70" s="13"/>
    </row>
    <row r="71" spans="2:12">
      <c r="B71" s="1"/>
      <c r="C71" s="2"/>
      <c r="D71" s="1"/>
      <c r="E71" s="5"/>
      <c r="F71" s="1"/>
      <c r="G71" s="1"/>
      <c r="H71" s="14"/>
      <c r="I71" s="1"/>
      <c r="J71" s="1"/>
    </row>
    <row r="72" spans="2:12">
      <c r="B72" s="1"/>
      <c r="C72" s="2"/>
      <c r="D72" s="1"/>
      <c r="E72" s="5"/>
      <c r="F72" s="1"/>
      <c r="G72" s="1"/>
      <c r="H72" s="14"/>
      <c r="I72" s="1"/>
      <c r="J72" s="1"/>
    </row>
    <row r="73" spans="2:12">
      <c r="B73" s="1"/>
      <c r="C73" s="2"/>
      <c r="D73" s="1"/>
      <c r="E73" s="5"/>
      <c r="F73" s="1"/>
      <c r="G73" s="1"/>
      <c r="H73" s="14"/>
      <c r="I73" s="1"/>
      <c r="J73" s="1"/>
    </row>
    <row r="74" spans="2:12">
      <c r="B74" s="1"/>
      <c r="C74" s="2"/>
      <c r="D74" s="1"/>
      <c r="E74" s="5"/>
      <c r="F74" s="1"/>
      <c r="G74" s="1"/>
      <c r="H74" s="14"/>
      <c r="I74" s="1"/>
      <c r="J74" s="1"/>
    </row>
    <row r="75" spans="2:12">
      <c r="B75" s="1"/>
      <c r="C75" s="2"/>
      <c r="D75" s="1"/>
      <c r="E75" s="5"/>
      <c r="F75" s="1"/>
      <c r="G75" s="1"/>
      <c r="H75" s="14"/>
      <c r="I75" s="1"/>
      <c r="J75" s="1"/>
    </row>
    <row r="76" spans="2:12">
      <c r="B76" s="1"/>
      <c r="C76" s="2"/>
      <c r="D76" s="1"/>
      <c r="E76" s="5"/>
      <c r="F76" s="1"/>
      <c r="G76" s="1"/>
      <c r="H76" s="14"/>
      <c r="I76" s="1"/>
      <c r="J76" s="1"/>
    </row>
    <row r="77" spans="2:12">
      <c r="B77" s="1"/>
      <c r="C77" s="2"/>
      <c r="D77" s="1"/>
      <c r="E77" s="5"/>
      <c r="F77" s="1"/>
      <c r="G77" s="1"/>
      <c r="H77" s="14"/>
      <c r="I77" s="1"/>
      <c r="J77" s="1"/>
    </row>
    <row r="78" spans="2:12">
      <c r="B78" s="1"/>
      <c r="C78" s="2"/>
      <c r="D78" s="1"/>
      <c r="E78" s="5"/>
      <c r="F78" s="1"/>
      <c r="G78" s="1"/>
      <c r="H78" s="14"/>
      <c r="I78" s="1"/>
      <c r="J78" s="1"/>
    </row>
    <row r="79" spans="2:12">
      <c r="B79" s="1"/>
      <c r="C79" s="6"/>
      <c r="D79" s="1"/>
      <c r="E79" s="1"/>
      <c r="F79" s="1"/>
      <c r="G79" s="1"/>
      <c r="H79" s="14"/>
      <c r="I79" s="1"/>
      <c r="J79" s="1"/>
    </row>
    <row r="80" spans="2:12">
      <c r="B80" s="1"/>
      <c r="C80" s="6"/>
      <c r="D80" s="1"/>
      <c r="E80" s="1"/>
      <c r="F80" s="1"/>
      <c r="G80" s="1"/>
      <c r="H80" s="14"/>
      <c r="I80" s="1"/>
      <c r="J80" s="1"/>
    </row>
    <row r="81" spans="2:10">
      <c r="B81" s="1"/>
      <c r="D81" s="1"/>
      <c r="E81" s="1"/>
      <c r="F81" s="1"/>
      <c r="G81" s="1"/>
      <c r="H81" s="14"/>
      <c r="I81" s="1"/>
      <c r="J81" s="1"/>
    </row>
    <row r="82" spans="2:10">
      <c r="B82" s="1"/>
      <c r="D82" s="1"/>
      <c r="E82" s="1"/>
      <c r="F82" s="1"/>
      <c r="G82" s="1"/>
      <c r="H82" s="14"/>
      <c r="I82" s="1"/>
      <c r="J82" s="1"/>
    </row>
    <row r="83" spans="2:10">
      <c r="B83" s="1"/>
      <c r="D83" s="1"/>
      <c r="E83" s="1"/>
      <c r="F83" s="1"/>
      <c r="G83" s="1"/>
      <c r="H83" s="14"/>
      <c r="I83" s="1"/>
      <c r="J83" s="1"/>
    </row>
    <row r="84" spans="2:10">
      <c r="B84" s="1"/>
      <c r="D84" s="1"/>
      <c r="E84" s="1"/>
      <c r="F84" s="1"/>
      <c r="G84" s="1"/>
      <c r="H84" s="14"/>
      <c r="I84" s="1"/>
      <c r="J84" s="1"/>
    </row>
    <row r="85" spans="2:10">
      <c r="B85" s="1"/>
      <c r="D85" s="1"/>
      <c r="E85" s="1"/>
      <c r="F85" s="1"/>
      <c r="G85" s="1"/>
      <c r="H85" s="14"/>
      <c r="I85" s="1"/>
      <c r="J85" s="1"/>
    </row>
    <row r="86" spans="2:10">
      <c r="B86" s="1"/>
      <c r="D86" s="1"/>
      <c r="E86" s="1"/>
      <c r="F86" s="1"/>
      <c r="G86" s="1"/>
      <c r="H86" s="14"/>
      <c r="I86" s="1"/>
      <c r="J86" s="1"/>
    </row>
    <row r="87" spans="2:10">
      <c r="B87" s="1"/>
      <c r="D87" s="1"/>
      <c r="E87" s="1"/>
      <c r="F87" s="1"/>
      <c r="G87" s="1"/>
      <c r="H87" s="14"/>
      <c r="I87" s="1"/>
      <c r="J87" s="1"/>
    </row>
    <row r="88" spans="2:10">
      <c r="B88" s="1"/>
      <c r="D88" s="1"/>
      <c r="E88" s="1"/>
      <c r="F88" s="1"/>
      <c r="G88" s="1"/>
      <c r="H88" s="14"/>
      <c r="I88" s="1"/>
      <c r="J88" s="1"/>
    </row>
    <row r="89" spans="2:10">
      <c r="B89" s="1"/>
      <c r="D89" s="1"/>
      <c r="E89" s="1"/>
      <c r="F89" s="1"/>
      <c r="G89" s="1"/>
      <c r="H89" s="14"/>
      <c r="I89" s="1"/>
      <c r="J89" s="1"/>
    </row>
    <row r="90" spans="2:10">
      <c r="B90" s="1"/>
      <c r="D90" s="1"/>
      <c r="E90" s="1"/>
      <c r="F90" s="1"/>
      <c r="G90" s="1"/>
      <c r="H90" s="14"/>
      <c r="I90" s="1"/>
      <c r="J90" s="1"/>
    </row>
    <row r="91" spans="2:10">
      <c r="B91" s="1"/>
      <c r="D91" s="1"/>
      <c r="E91" s="1"/>
      <c r="F91" s="1"/>
      <c r="G91" s="1"/>
      <c r="H91" s="14"/>
      <c r="I91" s="1"/>
      <c r="J91" s="1"/>
    </row>
    <row r="92" spans="2:10">
      <c r="B92" s="1"/>
      <c r="D92" s="1"/>
      <c r="E92" s="1"/>
      <c r="F92" s="1"/>
      <c r="G92" s="1"/>
      <c r="H92" s="14"/>
      <c r="I92" s="1"/>
      <c r="J92" s="1"/>
    </row>
    <row r="93" spans="2:10">
      <c r="B93" s="1"/>
      <c r="D93" s="1"/>
      <c r="E93" s="1"/>
      <c r="F93" s="1"/>
      <c r="G93" s="1"/>
      <c r="H93" s="14"/>
      <c r="I93" s="1"/>
      <c r="J93" s="1"/>
    </row>
    <row r="94" spans="2:10">
      <c r="B94" s="1"/>
      <c r="D94" s="1"/>
      <c r="E94" s="1"/>
      <c r="F94" s="1"/>
      <c r="G94" s="1"/>
      <c r="H94" s="14"/>
      <c r="I94" s="1"/>
      <c r="J94" s="1"/>
    </row>
    <row r="95" spans="2:10">
      <c r="B95" s="1"/>
      <c r="D95" s="1"/>
      <c r="E95" s="1"/>
      <c r="F95" s="1"/>
      <c r="G95" s="1"/>
      <c r="H95" s="14"/>
      <c r="I95" s="1"/>
      <c r="J95" s="1"/>
    </row>
    <row r="96" spans="2:10">
      <c r="B96" s="1"/>
      <c r="D96" s="1"/>
      <c r="E96" s="1"/>
      <c r="F96" s="1"/>
      <c r="G96" s="1"/>
      <c r="H96" s="14"/>
      <c r="I96" s="1"/>
      <c r="J96" s="1"/>
    </row>
    <row r="1048567" spans="22:22">
      <c r="V1048567" s="19">
        <v>42501</v>
      </c>
    </row>
  </sheetData>
  <protectedRanges>
    <protectedRange sqref="B50:L1048576 B1:L48" name="Range1"/>
  </protectedRanges>
  <conditionalFormatting sqref="B5:B15">
    <cfRule type="expression" dxfId="22" priority="4">
      <formula>I5&lt;100%</formula>
    </cfRule>
    <cfRule type="expression" dxfId="21" priority="5">
      <formula>I5=100%</formula>
    </cfRule>
  </conditionalFormatting>
  <conditionalFormatting sqref="E5:E15">
    <cfRule type="expression" dxfId="20" priority="1">
      <formula>E5="L"</formula>
    </cfRule>
    <cfRule type="expression" dxfId="19" priority="2">
      <formula>E5="M"</formula>
    </cfRule>
    <cfRule type="expression" dxfId="18" priority="3">
      <formula>E5="H"</formula>
    </cfRule>
  </conditionalFormatting>
  <dataValidations count="2">
    <dataValidation type="list" allowBlank="1" showInputMessage="1" showErrorMessage="1" sqref="N46 N5:N10 F5:F15">
      <formula1>Names4.0</formula1>
    </dataValidation>
    <dataValidation type="date" operator="greaterThan" allowBlank="1" showInputMessage="1" showErrorMessage="1" sqref="P5:P10">
      <formula1>42679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1</xdr:col>
                    <xdr:colOff>66675</xdr:colOff>
                    <xdr:row>0</xdr:row>
                    <xdr:rowOff>47625</xdr:rowOff>
                  </from>
                  <to>
                    <xdr:col>5</xdr:col>
                    <xdr:colOff>428625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3_Click">
                <anchor moveWithCells="1" sizeWithCells="1">
                  <from>
                    <xdr:col>5</xdr:col>
                    <xdr:colOff>514350</xdr:colOff>
                    <xdr:row>0</xdr:row>
                    <xdr:rowOff>38100</xdr:rowOff>
                  </from>
                  <to>
                    <xdr:col>9</xdr:col>
                    <xdr:colOff>180975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Message_Add_Row">
                <anchor moveWithCells="1" sizeWithCells="1">
                  <from>
                    <xdr:col>13</xdr:col>
                    <xdr:colOff>47625</xdr:colOff>
                    <xdr:row>0</xdr:row>
                    <xdr:rowOff>76200</xdr:rowOff>
                  </from>
                  <to>
                    <xdr:col>14</xdr:col>
                    <xdr:colOff>1085850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Message_Delete_Row">
                <anchor moveWithCells="1" sizeWithCells="1">
                  <from>
                    <xdr:col>14</xdr:col>
                    <xdr:colOff>1152525</xdr:colOff>
                    <xdr:row>0</xdr:row>
                    <xdr:rowOff>76200</xdr:rowOff>
                  </from>
                  <to>
                    <xdr:col>14</xdr:col>
                    <xdr:colOff>3057525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Sort_By_Date">
                <anchor moveWithCells="1" sizeWithCells="1">
                  <from>
                    <xdr:col>16</xdr:col>
                    <xdr:colOff>542925</xdr:colOff>
                    <xdr:row>38</xdr:row>
                    <xdr:rowOff>152400</xdr:rowOff>
                  </from>
                  <to>
                    <xdr:col>22</xdr:col>
                    <xdr:colOff>47625</xdr:colOff>
                    <xdr:row>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Button14_Click">
                <anchor moveWithCells="1" sizeWithCells="1">
                  <from>
                    <xdr:col>9</xdr:col>
                    <xdr:colOff>247650</xdr:colOff>
                    <xdr:row>0</xdr:row>
                    <xdr:rowOff>47625</xdr:rowOff>
                  </from>
                  <to>
                    <xdr:col>10</xdr:col>
                    <xdr:colOff>523875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3">
    <tablePart r:id="rId10"/>
    <tablePart r:id="rId11"/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Sheet2!$B$1:$B$3</xm:f>
          </x14:formula1>
          <xm:sqref>E5:E15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G10" sqref="G10"/>
    </sheetView>
  </sheetViews>
  <sheetFormatPr defaultRowHeight="15"/>
  <cols>
    <col min="1" max="1" width="33" customWidth="1"/>
    <col min="2" max="2" width="0" hidden="1" customWidth="1"/>
    <col min="4" max="5" width="11" customWidth="1"/>
    <col min="8" max="8" width="9.140625" style="11"/>
  </cols>
  <sheetData>
    <row r="1" spans="1:10">
      <c r="A1" t="s">
        <v>43</v>
      </c>
      <c r="B1" s="8" t="s">
        <v>8</v>
      </c>
    </row>
    <row r="2" spans="1:10">
      <c r="A2" t="s">
        <v>11</v>
      </c>
      <c r="B2" s="9" t="s">
        <v>9</v>
      </c>
      <c r="E2" s="15"/>
    </row>
    <row r="3" spans="1:10">
      <c r="A3" t="s">
        <v>41</v>
      </c>
      <c r="B3" s="10" t="s">
        <v>10</v>
      </c>
      <c r="D3">
        <f>(LOOKUP(2,1/(A:A&lt;&gt;""),ROW(A:A)))</f>
        <v>9</v>
      </c>
      <c r="J3" s="18"/>
    </row>
    <row r="4" spans="1:10">
      <c r="A4" t="s">
        <v>12</v>
      </c>
    </row>
    <row r="5" spans="1:10">
      <c r="A5" t="s">
        <v>42</v>
      </c>
    </row>
    <row r="6" spans="1:10">
      <c r="A6" t="s">
        <v>14</v>
      </c>
    </row>
    <row r="7" spans="1:10">
      <c r="A7" t="s">
        <v>44</v>
      </c>
    </row>
    <row r="8" spans="1:10">
      <c r="A8" t="s">
        <v>13</v>
      </c>
    </row>
    <row r="9" spans="1:10">
      <c r="A9" t="s">
        <v>15</v>
      </c>
    </row>
    <row r="10" spans="1:10">
      <c r="E10" s="15"/>
    </row>
    <row r="13" spans="1:10">
      <c r="E13" s="15"/>
    </row>
    <row r="15" spans="1:10">
      <c r="E15" s="15"/>
    </row>
    <row r="16" spans="1:10">
      <c r="E16" s="15"/>
    </row>
    <row r="17" spans="5:5">
      <c r="E17" s="15"/>
    </row>
    <row r="19" spans="5:5">
      <c r="E19" s="15"/>
    </row>
    <row r="20" spans="5:5">
      <c r="E20" s="15"/>
    </row>
    <row r="21" spans="5:5">
      <c r="E21" s="15"/>
    </row>
    <row r="22" spans="5:5">
      <c r="E22" s="15"/>
    </row>
    <row r="23" spans="5:5">
      <c r="E23" s="15"/>
    </row>
    <row r="24" spans="5:5">
      <c r="E24" s="15"/>
    </row>
  </sheetData>
  <sortState ref="A2:A9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G2:P16"/>
  <sheetViews>
    <sheetView workbookViewId="0">
      <selection activeCell="H22" sqref="H22"/>
    </sheetView>
  </sheetViews>
  <sheetFormatPr defaultRowHeight="15"/>
  <cols>
    <col min="7" max="7" width="11" customWidth="1"/>
    <col min="8" max="8" width="26.5703125" style="17" customWidth="1"/>
    <col min="9" max="9" width="24.5703125" customWidth="1"/>
  </cols>
  <sheetData>
    <row r="2" spans="7:16">
      <c r="G2" t="s">
        <v>11</v>
      </c>
      <c r="H2" s="17">
        <v>0.6785714285714286</v>
      </c>
    </row>
    <row r="3" spans="7:16">
      <c r="K3">
        <f>COUNTIF(Sheet1!E:E,"H")</f>
        <v>5</v>
      </c>
      <c r="L3" s="11"/>
      <c r="M3" t="s">
        <v>19</v>
      </c>
      <c r="N3" t="s">
        <v>18</v>
      </c>
      <c r="O3" t="s">
        <v>21</v>
      </c>
      <c r="P3" t="s">
        <v>22</v>
      </c>
    </row>
    <row r="4" spans="7:16">
      <c r="G4" t="s">
        <v>41</v>
      </c>
      <c r="H4" s="17">
        <v>0.20000000000000004</v>
      </c>
      <c r="K4">
        <f>COUNTIF(Sheet1!E:E,"M")</f>
        <v>4</v>
      </c>
      <c r="L4" s="11"/>
      <c r="M4">
        <f>K3*6+K4*3+K5*1</f>
        <v>44</v>
      </c>
      <c r="N4">
        <f>SUM(Sheet1!L:L)</f>
        <v>18.850000000000001</v>
      </c>
      <c r="O4" s="11">
        <f>N4/M4</f>
        <v>0.42840909090909096</v>
      </c>
      <c r="P4" s="12">
        <f>1-O4</f>
        <v>0.57159090909090904</v>
      </c>
    </row>
    <row r="5" spans="7:16">
      <c r="K5">
        <f>COUNTIF(Sheet1!E:E,"L")</f>
        <v>2</v>
      </c>
      <c r="L5" s="11"/>
    </row>
    <row r="6" spans="7:16">
      <c r="G6" t="s">
        <v>12</v>
      </c>
      <c r="H6" s="17">
        <v>0.3</v>
      </c>
    </row>
    <row r="8" spans="7:16">
      <c r="G8" t="s">
        <v>42</v>
      </c>
      <c r="H8" s="17">
        <v>0.6</v>
      </c>
    </row>
    <row r="10" spans="7:16">
      <c r="G10" t="s">
        <v>14</v>
      </c>
      <c r="H10" s="17">
        <v>0.25</v>
      </c>
    </row>
    <row r="12" spans="7:16">
      <c r="G12" t="s">
        <v>44</v>
      </c>
      <c r="H12" s="17">
        <v>0.3</v>
      </c>
    </row>
    <row r="14" spans="7:16">
      <c r="G14" t="s">
        <v>13</v>
      </c>
      <c r="H14" s="17">
        <v>0.625</v>
      </c>
    </row>
    <row r="16" spans="7:16">
      <c r="G16" t="s">
        <v>15</v>
      </c>
      <c r="H16" s="17">
        <v>0.27857142857142858</v>
      </c>
    </row>
  </sheetData>
  <conditionalFormatting sqref="H2">
    <cfRule type="dataBar" priority="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{5B616AC5-EC66-4699-A71C-A51AAFA0F6F3}</x14:id>
        </ext>
      </extLst>
    </cfRule>
  </conditionalFormatting>
  <conditionalFormatting sqref="H1:H1048576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{7705149F-057E-40B7-9FD9-BF00D16106F0}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B616AC5-EC66-4699-A71C-A51AAFA0F6F3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rgb="FF000000"/>
              <x14:negativeFillColor rgb="FFFF0000"/>
              <x14:axisColor rgb="FF000000"/>
            </x14:dataBar>
          </x14:cfRule>
          <xm:sqref>H2</xm:sqref>
        </x14:conditionalFormatting>
        <x14:conditionalFormatting xmlns:xm="http://schemas.microsoft.com/office/excel/2006/main">
          <x14:cfRule type="dataBar" id="{7705149F-057E-40B7-9FD9-BF00D16106F0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rgb="FF000000"/>
              <x14:negativeFillColor rgb="FFFF0000"/>
              <x14:axisColor rgb="FF000000"/>
            </x14:dataBar>
          </x14:cfRule>
          <xm:sqref>H1:H1048576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P223"/>
  <sheetViews>
    <sheetView showGridLines="0" workbookViewId="0">
      <selection activeCell="R12" sqref="R12"/>
    </sheetView>
  </sheetViews>
  <sheetFormatPr defaultRowHeight="15"/>
  <cols>
    <col min="14" max="14" width="17.42578125" customWidth="1"/>
    <col min="15" max="15" width="45" customWidth="1"/>
    <col min="16" max="16" width="12.85546875" customWidth="1"/>
  </cols>
  <sheetData>
    <row r="3" spans="2:16" ht="15" customHeight="1">
      <c r="B3" s="69" t="s">
        <v>35</v>
      </c>
      <c r="C3" s="70"/>
      <c r="D3" s="71"/>
      <c r="F3" s="60" t="s">
        <v>36</v>
      </c>
      <c r="G3" s="61"/>
      <c r="H3" s="62"/>
      <c r="J3" s="45" t="s">
        <v>37</v>
      </c>
      <c r="K3" s="46"/>
      <c r="L3" s="47"/>
      <c r="N3" s="38" t="s">
        <v>38</v>
      </c>
      <c r="O3" s="38"/>
      <c r="P3" s="29"/>
    </row>
    <row r="4" spans="2:16" ht="15" customHeight="1">
      <c r="B4" s="72"/>
      <c r="C4" s="73"/>
      <c r="D4" s="74"/>
      <c r="F4" s="63"/>
      <c r="G4" s="64"/>
      <c r="H4" s="65"/>
      <c r="J4" s="48"/>
      <c r="K4" s="49"/>
      <c r="L4" s="50"/>
      <c r="N4" s="38"/>
      <c r="O4" s="38"/>
      <c r="P4" s="29"/>
    </row>
    <row r="5" spans="2:16">
      <c r="B5" s="75"/>
      <c r="C5" s="76"/>
      <c r="D5" s="77"/>
      <c r="F5" s="66"/>
      <c r="G5" s="67"/>
      <c r="H5" s="68"/>
      <c r="J5" s="51"/>
      <c r="K5" s="52"/>
      <c r="L5" s="53"/>
      <c r="N5" t="s">
        <v>31</v>
      </c>
      <c r="O5" s="1" t="s">
        <v>39</v>
      </c>
      <c r="P5" s="30"/>
    </row>
    <row r="6" spans="2:16">
      <c r="B6" s="54"/>
      <c r="C6" s="55"/>
      <c r="D6" s="56"/>
      <c r="F6" s="39"/>
      <c r="G6" s="40"/>
      <c r="H6" s="41"/>
      <c r="J6" s="32"/>
      <c r="K6" s="33"/>
      <c r="L6" s="34"/>
      <c r="N6" s="31">
        <v>42682</v>
      </c>
      <c r="O6" s="1" t="s">
        <v>40</v>
      </c>
      <c r="P6" s="30"/>
    </row>
    <row r="7" spans="2:16">
      <c r="B7" s="54"/>
      <c r="C7" s="55"/>
      <c r="D7" s="56"/>
      <c r="F7" s="39"/>
      <c r="G7" s="40"/>
      <c r="H7" s="41"/>
      <c r="J7" s="32"/>
      <c r="K7" s="33"/>
      <c r="L7" s="34"/>
      <c r="N7" s="1"/>
      <c r="O7" s="1"/>
    </row>
    <row r="8" spans="2:16">
      <c r="B8" s="54"/>
      <c r="C8" s="55"/>
      <c r="D8" s="56"/>
      <c r="F8" s="39"/>
      <c r="G8" s="40"/>
      <c r="H8" s="41"/>
      <c r="J8" s="32"/>
      <c r="K8" s="33"/>
      <c r="L8" s="34"/>
      <c r="N8" s="1"/>
      <c r="O8" s="1"/>
    </row>
    <row r="9" spans="2:16">
      <c r="B9" s="54"/>
      <c r="C9" s="55"/>
      <c r="D9" s="56"/>
      <c r="F9" s="39"/>
      <c r="G9" s="40"/>
      <c r="H9" s="41"/>
      <c r="J9" s="32"/>
      <c r="K9" s="33"/>
      <c r="L9" s="34"/>
      <c r="N9" s="1"/>
      <c r="O9" s="1"/>
    </row>
    <row r="10" spans="2:16">
      <c r="B10" s="54"/>
      <c r="C10" s="55"/>
      <c r="D10" s="56"/>
      <c r="F10" s="39"/>
      <c r="G10" s="40"/>
      <c r="H10" s="41"/>
      <c r="J10" s="32"/>
      <c r="K10" s="33"/>
      <c r="L10" s="34"/>
      <c r="N10" s="1"/>
      <c r="O10" s="1"/>
    </row>
    <row r="11" spans="2:16">
      <c r="B11" s="54"/>
      <c r="C11" s="55"/>
      <c r="D11" s="56"/>
      <c r="F11" s="39"/>
      <c r="G11" s="40"/>
      <c r="H11" s="41"/>
      <c r="J11" s="32"/>
      <c r="K11" s="33"/>
      <c r="L11" s="34"/>
      <c r="N11" s="1"/>
      <c r="O11" s="1"/>
    </row>
    <row r="12" spans="2:16">
      <c r="B12" s="54"/>
      <c r="C12" s="55"/>
      <c r="D12" s="56"/>
      <c r="F12" s="39"/>
      <c r="G12" s="40"/>
      <c r="H12" s="41"/>
      <c r="J12" s="32"/>
      <c r="K12" s="33"/>
      <c r="L12" s="34"/>
      <c r="N12" s="1"/>
      <c r="O12" s="1"/>
    </row>
    <row r="13" spans="2:16">
      <c r="B13" s="54"/>
      <c r="C13" s="55"/>
      <c r="D13" s="56"/>
      <c r="F13" s="39"/>
      <c r="G13" s="40"/>
      <c r="H13" s="41"/>
      <c r="J13" s="32"/>
      <c r="K13" s="33"/>
      <c r="L13" s="34"/>
      <c r="N13" s="1"/>
      <c r="O13" s="1"/>
    </row>
    <row r="14" spans="2:16">
      <c r="B14" s="54"/>
      <c r="C14" s="55"/>
      <c r="D14" s="56"/>
      <c r="F14" s="39"/>
      <c r="G14" s="40"/>
      <c r="H14" s="41"/>
      <c r="J14" s="32"/>
      <c r="K14" s="33"/>
      <c r="L14" s="34"/>
      <c r="N14" s="1"/>
      <c r="O14" s="1"/>
    </row>
    <row r="15" spans="2:16">
      <c r="B15" s="54"/>
      <c r="C15" s="55"/>
      <c r="D15" s="56"/>
      <c r="F15" s="39"/>
      <c r="G15" s="40"/>
      <c r="H15" s="41"/>
      <c r="J15" s="32"/>
      <c r="K15" s="33"/>
      <c r="L15" s="34"/>
      <c r="N15" s="1"/>
      <c r="O15" s="1"/>
    </row>
    <row r="16" spans="2:16">
      <c r="B16" s="54"/>
      <c r="C16" s="55"/>
      <c r="D16" s="56"/>
      <c r="F16" s="39"/>
      <c r="G16" s="40"/>
      <c r="H16" s="41"/>
      <c r="J16" s="32"/>
      <c r="K16" s="33"/>
      <c r="L16" s="34"/>
      <c r="N16" s="1"/>
      <c r="O16" s="1"/>
    </row>
    <row r="17" spans="2:15">
      <c r="B17" s="54"/>
      <c r="C17" s="55"/>
      <c r="D17" s="56"/>
      <c r="F17" s="39"/>
      <c r="G17" s="40"/>
      <c r="H17" s="41"/>
      <c r="J17" s="32"/>
      <c r="K17" s="33"/>
      <c r="L17" s="34"/>
      <c r="N17" s="1"/>
      <c r="O17" s="1"/>
    </row>
    <row r="18" spans="2:15">
      <c r="B18" s="54"/>
      <c r="C18" s="55"/>
      <c r="D18" s="56"/>
      <c r="F18" s="39"/>
      <c r="G18" s="40"/>
      <c r="H18" s="41"/>
      <c r="J18" s="32"/>
      <c r="K18" s="33"/>
      <c r="L18" s="34"/>
      <c r="N18" s="1"/>
      <c r="O18" s="1"/>
    </row>
    <row r="19" spans="2:15">
      <c r="B19" s="54"/>
      <c r="C19" s="55"/>
      <c r="D19" s="56"/>
      <c r="F19" s="39"/>
      <c r="G19" s="40"/>
      <c r="H19" s="41"/>
      <c r="J19" s="32"/>
      <c r="K19" s="33"/>
      <c r="L19" s="34"/>
      <c r="N19" s="1"/>
      <c r="O19" s="1"/>
    </row>
    <row r="20" spans="2:15">
      <c r="B20" s="54"/>
      <c r="C20" s="55"/>
      <c r="D20" s="56"/>
      <c r="F20" s="39"/>
      <c r="G20" s="40"/>
      <c r="H20" s="41"/>
      <c r="J20" s="32"/>
      <c r="K20" s="33"/>
      <c r="L20" s="34"/>
      <c r="N20" s="1"/>
      <c r="O20" s="1"/>
    </row>
    <row r="21" spans="2:15">
      <c r="B21" s="54"/>
      <c r="C21" s="55"/>
      <c r="D21" s="56"/>
      <c r="F21" s="39"/>
      <c r="G21" s="40"/>
      <c r="H21" s="41"/>
      <c r="J21" s="32"/>
      <c r="K21" s="33"/>
      <c r="L21" s="34"/>
      <c r="N21" s="1"/>
      <c r="O21" s="1"/>
    </row>
    <row r="22" spans="2:15">
      <c r="B22" s="54"/>
      <c r="C22" s="55"/>
      <c r="D22" s="56"/>
      <c r="F22" s="39"/>
      <c r="G22" s="40"/>
      <c r="H22" s="41"/>
      <c r="J22" s="32"/>
      <c r="K22" s="33"/>
      <c r="L22" s="34"/>
      <c r="N22" s="1"/>
      <c r="O22" s="1"/>
    </row>
    <row r="23" spans="2:15">
      <c r="B23" s="54"/>
      <c r="C23" s="55"/>
      <c r="D23" s="56"/>
      <c r="F23" s="39"/>
      <c r="G23" s="40"/>
      <c r="H23" s="41"/>
      <c r="J23" s="32"/>
      <c r="K23" s="33"/>
      <c r="L23" s="34"/>
      <c r="N23" s="1"/>
      <c r="O23" s="1"/>
    </row>
    <row r="24" spans="2:15">
      <c r="B24" s="54"/>
      <c r="C24" s="55"/>
      <c r="D24" s="56"/>
      <c r="F24" s="39"/>
      <c r="G24" s="40"/>
      <c r="H24" s="41"/>
      <c r="J24" s="32"/>
      <c r="K24" s="33"/>
      <c r="L24" s="34"/>
      <c r="N24" s="1"/>
      <c r="O24" s="1"/>
    </row>
    <row r="25" spans="2:15">
      <c r="B25" s="54"/>
      <c r="C25" s="55"/>
      <c r="D25" s="56"/>
      <c r="F25" s="39"/>
      <c r="G25" s="40"/>
      <c r="H25" s="41"/>
      <c r="J25" s="32"/>
      <c r="K25" s="33"/>
      <c r="L25" s="34"/>
      <c r="N25" s="1"/>
      <c r="O25" s="1"/>
    </row>
    <row r="26" spans="2:15">
      <c r="B26" s="54"/>
      <c r="C26" s="55"/>
      <c r="D26" s="56"/>
      <c r="F26" s="39"/>
      <c r="G26" s="40"/>
      <c r="H26" s="41"/>
      <c r="J26" s="32"/>
      <c r="K26" s="33"/>
      <c r="L26" s="34"/>
      <c r="N26" s="1"/>
      <c r="O26" s="1"/>
    </row>
    <row r="27" spans="2:15">
      <c r="B27" s="54"/>
      <c r="C27" s="55"/>
      <c r="D27" s="56"/>
      <c r="F27" s="39"/>
      <c r="G27" s="40"/>
      <c r="H27" s="41"/>
      <c r="J27" s="32"/>
      <c r="K27" s="33"/>
      <c r="L27" s="34"/>
      <c r="N27" s="1"/>
      <c r="O27" s="1"/>
    </row>
    <row r="28" spans="2:15">
      <c r="B28" s="54"/>
      <c r="C28" s="55"/>
      <c r="D28" s="56"/>
      <c r="F28" s="39"/>
      <c r="G28" s="40"/>
      <c r="H28" s="41"/>
      <c r="J28" s="32"/>
      <c r="K28" s="33"/>
      <c r="L28" s="34"/>
      <c r="N28" s="1"/>
      <c r="O28" s="1"/>
    </row>
    <row r="29" spans="2:15">
      <c r="B29" s="54"/>
      <c r="C29" s="55"/>
      <c r="D29" s="56"/>
      <c r="F29" s="39"/>
      <c r="G29" s="40"/>
      <c r="H29" s="41"/>
      <c r="J29" s="32"/>
      <c r="K29" s="33"/>
      <c r="L29" s="34"/>
      <c r="N29" s="1"/>
      <c r="O29" s="1"/>
    </row>
    <row r="30" spans="2:15">
      <c r="B30" s="54"/>
      <c r="C30" s="55"/>
      <c r="D30" s="56"/>
      <c r="F30" s="39"/>
      <c r="G30" s="40"/>
      <c r="H30" s="41"/>
      <c r="J30" s="32"/>
      <c r="K30" s="33"/>
      <c r="L30" s="34"/>
      <c r="N30" s="1"/>
      <c r="O30" s="1"/>
    </row>
    <row r="31" spans="2:15">
      <c r="B31" s="54"/>
      <c r="C31" s="55"/>
      <c r="D31" s="56"/>
      <c r="F31" s="39"/>
      <c r="G31" s="40"/>
      <c r="H31" s="41"/>
      <c r="J31" s="32"/>
      <c r="K31" s="33"/>
      <c r="L31" s="34"/>
      <c r="N31" s="1"/>
      <c r="O31" s="1"/>
    </row>
    <row r="32" spans="2:15">
      <c r="B32" s="54"/>
      <c r="C32" s="55"/>
      <c r="D32" s="56"/>
      <c r="F32" s="39"/>
      <c r="G32" s="40"/>
      <c r="H32" s="41"/>
      <c r="J32" s="32"/>
      <c r="K32" s="33"/>
      <c r="L32" s="34"/>
      <c r="N32" s="1"/>
      <c r="O32" s="1"/>
    </row>
    <row r="33" spans="2:15">
      <c r="B33" s="54"/>
      <c r="C33" s="55"/>
      <c r="D33" s="56"/>
      <c r="F33" s="39"/>
      <c r="G33" s="40"/>
      <c r="H33" s="41"/>
      <c r="J33" s="32"/>
      <c r="K33" s="33"/>
      <c r="L33" s="34"/>
      <c r="N33" s="1"/>
      <c r="O33" s="1"/>
    </row>
    <row r="34" spans="2:15">
      <c r="B34" s="54"/>
      <c r="C34" s="55"/>
      <c r="D34" s="56"/>
      <c r="F34" s="39"/>
      <c r="G34" s="40"/>
      <c r="H34" s="41"/>
      <c r="J34" s="32"/>
      <c r="K34" s="33"/>
      <c r="L34" s="34"/>
      <c r="N34" s="1"/>
      <c r="O34" s="1"/>
    </row>
    <row r="35" spans="2:15">
      <c r="B35" s="54"/>
      <c r="C35" s="55"/>
      <c r="D35" s="56"/>
      <c r="F35" s="39"/>
      <c r="G35" s="40"/>
      <c r="H35" s="41"/>
      <c r="J35" s="32"/>
      <c r="K35" s="33"/>
      <c r="L35" s="34"/>
      <c r="N35" s="1"/>
      <c r="O35" s="1"/>
    </row>
    <row r="36" spans="2:15">
      <c r="B36" s="54"/>
      <c r="C36" s="55"/>
      <c r="D36" s="56"/>
      <c r="F36" s="39"/>
      <c r="G36" s="40"/>
      <c r="H36" s="41"/>
      <c r="J36" s="32"/>
      <c r="K36" s="33"/>
      <c r="L36" s="34"/>
      <c r="N36" s="1"/>
      <c r="O36" s="1"/>
    </row>
    <row r="37" spans="2:15">
      <c r="B37" s="54"/>
      <c r="C37" s="55"/>
      <c r="D37" s="56"/>
      <c r="F37" s="39"/>
      <c r="G37" s="40"/>
      <c r="H37" s="41"/>
      <c r="J37" s="32"/>
      <c r="K37" s="33"/>
      <c r="L37" s="34"/>
      <c r="N37" s="1"/>
      <c r="O37" s="1"/>
    </row>
    <row r="38" spans="2:15">
      <c r="B38" s="54"/>
      <c r="C38" s="55"/>
      <c r="D38" s="56"/>
      <c r="F38" s="39"/>
      <c r="G38" s="40"/>
      <c r="H38" s="41"/>
      <c r="J38" s="32"/>
      <c r="K38" s="33"/>
      <c r="L38" s="34"/>
      <c r="N38" s="1"/>
      <c r="O38" s="1"/>
    </row>
    <row r="39" spans="2:15">
      <c r="B39" s="54"/>
      <c r="C39" s="55"/>
      <c r="D39" s="56"/>
      <c r="F39" s="39"/>
      <c r="G39" s="40"/>
      <c r="H39" s="41"/>
      <c r="J39" s="32"/>
      <c r="K39" s="33"/>
      <c r="L39" s="34"/>
      <c r="N39" s="1"/>
      <c r="O39" s="1"/>
    </row>
    <row r="40" spans="2:15">
      <c r="B40" s="54"/>
      <c r="C40" s="55"/>
      <c r="D40" s="56"/>
      <c r="F40" s="39"/>
      <c r="G40" s="40"/>
      <c r="H40" s="41"/>
      <c r="J40" s="32"/>
      <c r="K40" s="33"/>
      <c r="L40" s="34"/>
      <c r="N40" s="1"/>
      <c r="O40" s="1"/>
    </row>
    <row r="41" spans="2:15">
      <c r="B41" s="54"/>
      <c r="C41" s="55"/>
      <c r="D41" s="56"/>
      <c r="F41" s="39"/>
      <c r="G41" s="40"/>
      <c r="H41" s="41"/>
      <c r="J41" s="32"/>
      <c r="K41" s="33"/>
      <c r="L41" s="34"/>
      <c r="N41" s="1"/>
      <c r="O41" s="1"/>
    </row>
    <row r="42" spans="2:15">
      <c r="B42" s="54"/>
      <c r="C42" s="55"/>
      <c r="D42" s="56"/>
      <c r="F42" s="39"/>
      <c r="G42" s="40"/>
      <c r="H42" s="41"/>
      <c r="J42" s="32"/>
      <c r="K42" s="33"/>
      <c r="L42" s="34"/>
      <c r="N42" s="1"/>
      <c r="O42" s="1"/>
    </row>
    <row r="43" spans="2:15">
      <c r="B43" s="54"/>
      <c r="C43" s="55"/>
      <c r="D43" s="56"/>
      <c r="F43" s="39"/>
      <c r="G43" s="40"/>
      <c r="H43" s="41"/>
      <c r="J43" s="32"/>
      <c r="K43" s="33"/>
      <c r="L43" s="34"/>
      <c r="N43" s="1"/>
      <c r="O43" s="1"/>
    </row>
    <row r="44" spans="2:15">
      <c r="B44" s="54"/>
      <c r="C44" s="55"/>
      <c r="D44" s="56"/>
      <c r="F44" s="39"/>
      <c r="G44" s="40"/>
      <c r="H44" s="41"/>
      <c r="J44" s="32"/>
      <c r="K44" s="33"/>
      <c r="L44" s="34"/>
      <c r="N44" s="1"/>
      <c r="O44" s="1"/>
    </row>
    <row r="45" spans="2:15">
      <c r="B45" s="54"/>
      <c r="C45" s="55"/>
      <c r="D45" s="56"/>
      <c r="F45" s="39"/>
      <c r="G45" s="40"/>
      <c r="H45" s="41"/>
      <c r="J45" s="32"/>
      <c r="K45" s="33"/>
      <c r="L45" s="34"/>
      <c r="N45" s="1"/>
      <c r="O45" s="1"/>
    </row>
    <row r="46" spans="2:15">
      <c r="B46" s="54"/>
      <c r="C46" s="55"/>
      <c r="D46" s="56"/>
      <c r="F46" s="39"/>
      <c r="G46" s="40"/>
      <c r="H46" s="41"/>
      <c r="J46" s="32"/>
      <c r="K46" s="33"/>
      <c r="L46" s="34"/>
      <c r="N46" s="1"/>
      <c r="O46" s="1"/>
    </row>
    <row r="47" spans="2:15">
      <c r="B47" s="54"/>
      <c r="C47" s="55"/>
      <c r="D47" s="56"/>
      <c r="F47" s="39"/>
      <c r="G47" s="40"/>
      <c r="H47" s="41"/>
      <c r="J47" s="32"/>
      <c r="K47" s="33"/>
      <c r="L47" s="34"/>
      <c r="N47" s="1"/>
      <c r="O47" s="1"/>
    </row>
    <row r="48" spans="2:15">
      <c r="B48" s="54"/>
      <c r="C48" s="55"/>
      <c r="D48" s="56"/>
      <c r="F48" s="39"/>
      <c r="G48" s="40"/>
      <c r="H48" s="41"/>
      <c r="J48" s="32"/>
      <c r="K48" s="33"/>
      <c r="L48" s="34"/>
      <c r="N48" s="1"/>
      <c r="O48" s="1"/>
    </row>
    <row r="49" spans="2:15">
      <c r="B49" s="54"/>
      <c r="C49" s="55"/>
      <c r="D49" s="56"/>
      <c r="F49" s="39"/>
      <c r="G49" s="40"/>
      <c r="H49" s="41"/>
      <c r="J49" s="32"/>
      <c r="K49" s="33"/>
      <c r="L49" s="34"/>
      <c r="N49" s="1"/>
      <c r="O49" s="1"/>
    </row>
    <row r="50" spans="2:15">
      <c r="B50" s="54"/>
      <c r="C50" s="55"/>
      <c r="D50" s="56"/>
      <c r="F50" s="39"/>
      <c r="G50" s="40"/>
      <c r="H50" s="41"/>
      <c r="J50" s="32"/>
      <c r="K50" s="33"/>
      <c r="L50" s="34"/>
      <c r="N50" s="1"/>
      <c r="O50" s="1"/>
    </row>
    <row r="51" spans="2:15">
      <c r="B51" s="54"/>
      <c r="C51" s="55"/>
      <c r="D51" s="56"/>
      <c r="F51" s="39"/>
      <c r="G51" s="40"/>
      <c r="H51" s="41"/>
      <c r="J51" s="32"/>
      <c r="K51" s="33"/>
      <c r="L51" s="34"/>
      <c r="N51" s="1"/>
      <c r="O51" s="1"/>
    </row>
    <row r="52" spans="2:15">
      <c r="B52" s="54"/>
      <c r="C52" s="55"/>
      <c r="D52" s="56"/>
      <c r="F52" s="39"/>
      <c r="G52" s="40"/>
      <c r="H52" s="41"/>
      <c r="J52" s="32"/>
      <c r="K52" s="33"/>
      <c r="L52" s="34"/>
      <c r="N52" s="1"/>
      <c r="O52" s="1"/>
    </row>
    <row r="53" spans="2:15">
      <c r="B53" s="54"/>
      <c r="C53" s="55"/>
      <c r="D53" s="56"/>
      <c r="F53" s="39"/>
      <c r="G53" s="40"/>
      <c r="H53" s="41"/>
      <c r="J53" s="32"/>
      <c r="K53" s="33"/>
      <c r="L53" s="34"/>
      <c r="N53" s="1"/>
      <c r="O53" s="1"/>
    </row>
    <row r="54" spans="2:15">
      <c r="B54" s="54"/>
      <c r="C54" s="55"/>
      <c r="D54" s="56"/>
      <c r="F54" s="39"/>
      <c r="G54" s="40"/>
      <c r="H54" s="41"/>
      <c r="J54" s="32"/>
      <c r="K54" s="33"/>
      <c r="L54" s="34"/>
      <c r="N54" s="1"/>
      <c r="O54" s="1"/>
    </row>
    <row r="55" spans="2:15">
      <c r="B55" s="54"/>
      <c r="C55" s="55"/>
      <c r="D55" s="56"/>
      <c r="F55" s="39"/>
      <c r="G55" s="40"/>
      <c r="H55" s="41"/>
      <c r="J55" s="32"/>
      <c r="K55" s="33"/>
      <c r="L55" s="34"/>
      <c r="N55" s="1"/>
      <c r="O55" s="1"/>
    </row>
    <row r="56" spans="2:15">
      <c r="B56" s="54"/>
      <c r="C56" s="55"/>
      <c r="D56" s="56"/>
      <c r="F56" s="39"/>
      <c r="G56" s="40"/>
      <c r="H56" s="41"/>
      <c r="J56" s="32"/>
      <c r="K56" s="33"/>
      <c r="L56" s="34"/>
      <c r="N56" s="1"/>
      <c r="O56" s="1"/>
    </row>
    <row r="57" spans="2:15">
      <c r="B57" s="54"/>
      <c r="C57" s="55"/>
      <c r="D57" s="56"/>
      <c r="F57" s="39"/>
      <c r="G57" s="40"/>
      <c r="H57" s="41"/>
      <c r="J57" s="32"/>
      <c r="K57" s="33"/>
      <c r="L57" s="34"/>
      <c r="N57" s="1"/>
      <c r="O57" s="1"/>
    </row>
    <row r="58" spans="2:15">
      <c r="B58" s="54"/>
      <c r="C58" s="55"/>
      <c r="D58" s="56"/>
      <c r="F58" s="39"/>
      <c r="G58" s="40"/>
      <c r="H58" s="41"/>
      <c r="J58" s="32"/>
      <c r="K58" s="33"/>
      <c r="L58" s="34"/>
      <c r="N58" s="1"/>
      <c r="O58" s="1"/>
    </row>
    <row r="59" spans="2:15">
      <c r="B59" s="54"/>
      <c r="C59" s="55"/>
      <c r="D59" s="56"/>
      <c r="F59" s="39"/>
      <c r="G59" s="40"/>
      <c r="H59" s="41"/>
      <c r="J59" s="32"/>
      <c r="K59" s="33"/>
      <c r="L59" s="34"/>
      <c r="N59" s="1"/>
      <c r="O59" s="1"/>
    </row>
    <row r="60" spans="2:15">
      <c r="B60" s="54"/>
      <c r="C60" s="55"/>
      <c r="D60" s="56"/>
      <c r="F60" s="39"/>
      <c r="G60" s="40"/>
      <c r="H60" s="41"/>
      <c r="J60" s="32"/>
      <c r="K60" s="33"/>
      <c r="L60" s="34"/>
      <c r="N60" s="1"/>
      <c r="O60" s="1"/>
    </row>
    <row r="61" spans="2:15">
      <c r="B61" s="54"/>
      <c r="C61" s="55"/>
      <c r="D61" s="56"/>
      <c r="F61" s="39"/>
      <c r="G61" s="40"/>
      <c r="H61" s="41"/>
      <c r="J61" s="32"/>
      <c r="K61" s="33"/>
      <c r="L61" s="34"/>
      <c r="N61" s="1"/>
      <c r="O61" s="1"/>
    </row>
    <row r="62" spans="2:15">
      <c r="B62" s="54"/>
      <c r="C62" s="55"/>
      <c r="D62" s="56"/>
      <c r="F62" s="39"/>
      <c r="G62" s="40"/>
      <c r="H62" s="41"/>
      <c r="J62" s="32"/>
      <c r="K62" s="33"/>
      <c r="L62" s="34"/>
      <c r="N62" s="1"/>
      <c r="O62" s="1"/>
    </row>
    <row r="63" spans="2:15">
      <c r="B63" s="54"/>
      <c r="C63" s="55"/>
      <c r="D63" s="56"/>
      <c r="F63" s="39"/>
      <c r="G63" s="40"/>
      <c r="H63" s="41"/>
      <c r="J63" s="32"/>
      <c r="K63" s="33"/>
      <c r="L63" s="34"/>
      <c r="N63" s="1"/>
      <c r="O63" s="1"/>
    </row>
    <row r="64" spans="2:15">
      <c r="B64" s="54"/>
      <c r="C64" s="55"/>
      <c r="D64" s="56"/>
      <c r="F64" s="39"/>
      <c r="G64" s="40"/>
      <c r="H64" s="41"/>
      <c r="J64" s="32"/>
      <c r="K64" s="33"/>
      <c r="L64" s="34"/>
      <c r="N64" s="1"/>
      <c r="O64" s="1"/>
    </row>
    <row r="65" spans="2:15">
      <c r="B65" s="54"/>
      <c r="C65" s="55"/>
      <c r="D65" s="56"/>
      <c r="F65" s="39"/>
      <c r="G65" s="40"/>
      <c r="H65" s="41"/>
      <c r="J65" s="32"/>
      <c r="K65" s="33"/>
      <c r="L65" s="34"/>
      <c r="N65" s="1"/>
      <c r="O65" s="1"/>
    </row>
    <row r="66" spans="2:15">
      <c r="B66" s="54"/>
      <c r="C66" s="55"/>
      <c r="D66" s="56"/>
      <c r="F66" s="39"/>
      <c r="G66" s="40"/>
      <c r="H66" s="41"/>
      <c r="J66" s="32"/>
      <c r="K66" s="33"/>
      <c r="L66" s="34"/>
      <c r="N66" s="1"/>
      <c r="O66" s="1"/>
    </row>
    <row r="67" spans="2:15">
      <c r="B67" s="54"/>
      <c r="C67" s="55"/>
      <c r="D67" s="56"/>
      <c r="F67" s="39"/>
      <c r="G67" s="40"/>
      <c r="H67" s="41"/>
      <c r="J67" s="32"/>
      <c r="K67" s="33"/>
      <c r="L67" s="34"/>
      <c r="N67" s="1"/>
      <c r="O67" s="1"/>
    </row>
    <row r="68" spans="2:15">
      <c r="B68" s="54"/>
      <c r="C68" s="55"/>
      <c r="D68" s="56"/>
      <c r="F68" s="39"/>
      <c r="G68" s="40"/>
      <c r="H68" s="41"/>
      <c r="J68" s="32"/>
      <c r="K68" s="33"/>
      <c r="L68" s="34"/>
      <c r="N68" s="1"/>
      <c r="O68" s="1"/>
    </row>
    <row r="69" spans="2:15">
      <c r="B69" s="54"/>
      <c r="C69" s="55"/>
      <c r="D69" s="56"/>
      <c r="F69" s="39"/>
      <c r="G69" s="40"/>
      <c r="H69" s="41"/>
      <c r="J69" s="32"/>
      <c r="K69" s="33"/>
      <c r="L69" s="34"/>
      <c r="N69" s="1"/>
      <c r="O69" s="1"/>
    </row>
    <row r="70" spans="2:15">
      <c r="B70" s="54"/>
      <c r="C70" s="55"/>
      <c r="D70" s="56"/>
      <c r="F70" s="39"/>
      <c r="G70" s="40"/>
      <c r="H70" s="41"/>
      <c r="J70" s="32"/>
      <c r="K70" s="33"/>
      <c r="L70" s="34"/>
      <c r="N70" s="1"/>
      <c r="O70" s="1"/>
    </row>
    <row r="71" spans="2:15">
      <c r="B71" s="54"/>
      <c r="C71" s="55"/>
      <c r="D71" s="56"/>
      <c r="F71" s="39"/>
      <c r="G71" s="40"/>
      <c r="H71" s="41"/>
      <c r="J71" s="32"/>
      <c r="K71" s="33"/>
      <c r="L71" s="34"/>
      <c r="N71" s="1"/>
      <c r="O71" s="1"/>
    </row>
    <row r="72" spans="2:15">
      <c r="B72" s="54"/>
      <c r="C72" s="55"/>
      <c r="D72" s="56"/>
      <c r="F72" s="39"/>
      <c r="G72" s="40"/>
      <c r="H72" s="41"/>
      <c r="J72" s="32"/>
      <c r="K72" s="33"/>
      <c r="L72" s="34"/>
      <c r="N72" s="1"/>
      <c r="O72" s="1"/>
    </row>
    <row r="73" spans="2:15">
      <c r="B73" s="54"/>
      <c r="C73" s="55"/>
      <c r="D73" s="56"/>
      <c r="F73" s="39"/>
      <c r="G73" s="40"/>
      <c r="H73" s="41"/>
      <c r="J73" s="32"/>
      <c r="K73" s="33"/>
      <c r="L73" s="34"/>
      <c r="N73" s="1"/>
      <c r="O73" s="1"/>
    </row>
    <row r="74" spans="2:15">
      <c r="B74" s="54"/>
      <c r="C74" s="55"/>
      <c r="D74" s="56"/>
      <c r="F74" s="39"/>
      <c r="G74" s="40"/>
      <c r="H74" s="41"/>
      <c r="J74" s="32"/>
      <c r="K74" s="33"/>
      <c r="L74" s="34"/>
      <c r="N74" s="1"/>
      <c r="O74" s="1"/>
    </row>
    <row r="75" spans="2:15">
      <c r="B75" s="54"/>
      <c r="C75" s="55"/>
      <c r="D75" s="56"/>
      <c r="F75" s="39"/>
      <c r="G75" s="40"/>
      <c r="H75" s="41"/>
      <c r="J75" s="32"/>
      <c r="K75" s="33"/>
      <c r="L75" s="34"/>
      <c r="N75" s="1"/>
      <c r="O75" s="1"/>
    </row>
    <row r="76" spans="2:15">
      <c r="B76" s="54"/>
      <c r="C76" s="55"/>
      <c r="D76" s="56"/>
      <c r="F76" s="39"/>
      <c r="G76" s="40"/>
      <c r="H76" s="41"/>
      <c r="J76" s="32"/>
      <c r="K76" s="33"/>
      <c r="L76" s="34"/>
      <c r="N76" s="1"/>
      <c r="O76" s="1"/>
    </row>
    <row r="77" spans="2:15">
      <c r="B77" s="54"/>
      <c r="C77" s="55"/>
      <c r="D77" s="56"/>
      <c r="F77" s="39"/>
      <c r="G77" s="40"/>
      <c r="H77" s="41"/>
      <c r="J77" s="32"/>
      <c r="K77" s="33"/>
      <c r="L77" s="34"/>
      <c r="N77" s="1"/>
      <c r="O77" s="1"/>
    </row>
    <row r="78" spans="2:15">
      <c r="B78" s="54"/>
      <c r="C78" s="55"/>
      <c r="D78" s="56"/>
      <c r="F78" s="39"/>
      <c r="G78" s="40"/>
      <c r="H78" s="41"/>
      <c r="J78" s="32"/>
      <c r="K78" s="33"/>
      <c r="L78" s="34"/>
      <c r="N78" s="1"/>
      <c r="O78" s="1"/>
    </row>
    <row r="79" spans="2:15">
      <c r="B79" s="54"/>
      <c r="C79" s="55"/>
      <c r="D79" s="56"/>
      <c r="F79" s="39"/>
      <c r="G79" s="40"/>
      <c r="H79" s="41"/>
      <c r="J79" s="32"/>
      <c r="K79" s="33"/>
      <c r="L79" s="34"/>
      <c r="N79" s="1"/>
      <c r="O79" s="1"/>
    </row>
    <row r="80" spans="2:15">
      <c r="B80" s="54"/>
      <c r="C80" s="55"/>
      <c r="D80" s="56"/>
      <c r="F80" s="39"/>
      <c r="G80" s="40"/>
      <c r="H80" s="41"/>
      <c r="J80" s="32"/>
      <c r="K80" s="33"/>
      <c r="L80" s="34"/>
      <c r="N80" s="1"/>
      <c r="O80" s="1"/>
    </row>
    <row r="81" spans="2:15">
      <c r="B81" s="54"/>
      <c r="C81" s="55"/>
      <c r="D81" s="56"/>
      <c r="F81" s="39"/>
      <c r="G81" s="40"/>
      <c r="H81" s="41"/>
      <c r="J81" s="32"/>
      <c r="K81" s="33"/>
      <c r="L81" s="34"/>
      <c r="N81" s="1"/>
      <c r="O81" s="1"/>
    </row>
    <row r="82" spans="2:15">
      <c r="B82" s="54"/>
      <c r="C82" s="55"/>
      <c r="D82" s="56"/>
      <c r="F82" s="39"/>
      <c r="G82" s="40"/>
      <c r="H82" s="41"/>
      <c r="J82" s="32"/>
      <c r="K82" s="33"/>
      <c r="L82" s="34"/>
      <c r="N82" s="1"/>
      <c r="O82" s="1"/>
    </row>
    <row r="83" spans="2:15">
      <c r="B83" s="54"/>
      <c r="C83" s="55"/>
      <c r="D83" s="56"/>
      <c r="F83" s="39"/>
      <c r="G83" s="40"/>
      <c r="H83" s="41"/>
      <c r="J83" s="32"/>
      <c r="K83" s="33"/>
      <c r="L83" s="34"/>
      <c r="N83" s="1"/>
      <c r="O83" s="1"/>
    </row>
    <row r="84" spans="2:15">
      <c r="B84" s="54"/>
      <c r="C84" s="55"/>
      <c r="D84" s="56"/>
      <c r="F84" s="39"/>
      <c r="G84" s="40"/>
      <c r="H84" s="41"/>
      <c r="J84" s="32"/>
      <c r="K84" s="33"/>
      <c r="L84" s="34"/>
      <c r="N84" s="1"/>
      <c r="O84" s="1"/>
    </row>
    <row r="85" spans="2:15">
      <c r="B85" s="54"/>
      <c r="C85" s="55"/>
      <c r="D85" s="56"/>
      <c r="F85" s="39"/>
      <c r="G85" s="40"/>
      <c r="H85" s="41"/>
      <c r="J85" s="32"/>
      <c r="K85" s="33"/>
      <c r="L85" s="34"/>
      <c r="N85" s="1"/>
      <c r="O85" s="1"/>
    </row>
    <row r="86" spans="2:15">
      <c r="B86" s="54"/>
      <c r="C86" s="55"/>
      <c r="D86" s="56"/>
      <c r="F86" s="39"/>
      <c r="G86" s="40"/>
      <c r="H86" s="41"/>
      <c r="J86" s="32"/>
      <c r="K86" s="33"/>
      <c r="L86" s="34"/>
      <c r="N86" s="1"/>
      <c r="O86" s="1"/>
    </row>
    <row r="87" spans="2:15">
      <c r="B87" s="54"/>
      <c r="C87" s="55"/>
      <c r="D87" s="56"/>
      <c r="F87" s="39"/>
      <c r="G87" s="40"/>
      <c r="H87" s="41"/>
      <c r="J87" s="32"/>
      <c r="K87" s="33"/>
      <c r="L87" s="34"/>
      <c r="N87" s="1"/>
      <c r="O87" s="1"/>
    </row>
    <row r="88" spans="2:15">
      <c r="B88" s="54"/>
      <c r="C88" s="55"/>
      <c r="D88" s="56"/>
      <c r="F88" s="39"/>
      <c r="G88" s="40"/>
      <c r="H88" s="41"/>
      <c r="J88" s="32"/>
      <c r="K88" s="33"/>
      <c r="L88" s="34"/>
      <c r="N88" s="1"/>
      <c r="O88" s="1"/>
    </row>
    <row r="89" spans="2:15">
      <c r="B89" s="54"/>
      <c r="C89" s="55"/>
      <c r="D89" s="56"/>
      <c r="F89" s="39"/>
      <c r="G89" s="40"/>
      <c r="H89" s="41"/>
      <c r="J89" s="32"/>
      <c r="K89" s="33"/>
      <c r="L89" s="34"/>
      <c r="N89" s="1"/>
      <c r="O89" s="1"/>
    </row>
    <row r="90" spans="2:15">
      <c r="B90" s="54"/>
      <c r="C90" s="55"/>
      <c r="D90" s="56"/>
      <c r="F90" s="39"/>
      <c r="G90" s="40"/>
      <c r="H90" s="41"/>
      <c r="J90" s="32"/>
      <c r="K90" s="33"/>
      <c r="L90" s="34"/>
      <c r="N90" s="1"/>
      <c r="O90" s="1"/>
    </row>
    <row r="91" spans="2:15">
      <c r="B91" s="54"/>
      <c r="C91" s="55"/>
      <c r="D91" s="56"/>
      <c r="F91" s="39"/>
      <c r="G91" s="40"/>
      <c r="H91" s="41"/>
      <c r="J91" s="32"/>
      <c r="K91" s="33"/>
      <c r="L91" s="34"/>
      <c r="N91" s="1"/>
      <c r="O91" s="1"/>
    </row>
    <row r="92" spans="2:15">
      <c r="B92" s="54"/>
      <c r="C92" s="55"/>
      <c r="D92" s="56"/>
      <c r="F92" s="39"/>
      <c r="G92" s="40"/>
      <c r="H92" s="41"/>
      <c r="J92" s="32"/>
      <c r="K92" s="33"/>
      <c r="L92" s="34"/>
      <c r="N92" s="1"/>
      <c r="O92" s="1"/>
    </row>
    <row r="93" spans="2:15">
      <c r="B93" s="54"/>
      <c r="C93" s="55"/>
      <c r="D93" s="56"/>
      <c r="F93" s="39"/>
      <c r="G93" s="40"/>
      <c r="H93" s="41"/>
      <c r="J93" s="32"/>
      <c r="K93" s="33"/>
      <c r="L93" s="34"/>
      <c r="N93" s="1"/>
      <c r="O93" s="1"/>
    </row>
    <row r="94" spans="2:15">
      <c r="B94" s="54"/>
      <c r="C94" s="55"/>
      <c r="D94" s="56"/>
      <c r="F94" s="39"/>
      <c r="G94" s="40"/>
      <c r="H94" s="41"/>
      <c r="J94" s="32"/>
      <c r="K94" s="33"/>
      <c r="L94" s="34"/>
      <c r="N94" s="1"/>
      <c r="O94" s="1"/>
    </row>
    <row r="95" spans="2:15">
      <c r="B95" s="54"/>
      <c r="C95" s="55"/>
      <c r="D95" s="56"/>
      <c r="F95" s="39"/>
      <c r="G95" s="40"/>
      <c r="H95" s="41"/>
      <c r="J95" s="32"/>
      <c r="K95" s="33"/>
      <c r="L95" s="34"/>
      <c r="N95" s="1"/>
      <c r="O95" s="1"/>
    </row>
    <row r="96" spans="2:15">
      <c r="B96" s="54"/>
      <c r="C96" s="55"/>
      <c r="D96" s="56"/>
      <c r="F96" s="39"/>
      <c r="G96" s="40"/>
      <c r="H96" s="41"/>
      <c r="J96" s="32"/>
      <c r="K96" s="33"/>
      <c r="L96" s="34"/>
      <c r="N96" s="1"/>
      <c r="O96" s="1"/>
    </row>
    <row r="97" spans="2:15">
      <c r="B97" s="54"/>
      <c r="C97" s="55"/>
      <c r="D97" s="56"/>
      <c r="F97" s="39"/>
      <c r="G97" s="40"/>
      <c r="H97" s="41"/>
      <c r="J97" s="32"/>
      <c r="K97" s="33"/>
      <c r="L97" s="34"/>
      <c r="N97" s="1"/>
      <c r="O97" s="1"/>
    </row>
    <row r="98" spans="2:15">
      <c r="B98" s="54"/>
      <c r="C98" s="55"/>
      <c r="D98" s="56"/>
      <c r="F98" s="39"/>
      <c r="G98" s="40"/>
      <c r="H98" s="41"/>
      <c r="J98" s="32"/>
      <c r="K98" s="33"/>
      <c r="L98" s="34"/>
      <c r="N98" s="1"/>
      <c r="O98" s="1"/>
    </row>
    <row r="99" spans="2:15">
      <c r="B99" s="54"/>
      <c r="C99" s="55"/>
      <c r="D99" s="56"/>
      <c r="F99" s="39"/>
      <c r="G99" s="40"/>
      <c r="H99" s="41"/>
      <c r="J99" s="32"/>
      <c r="K99" s="33"/>
      <c r="L99" s="34"/>
      <c r="N99" s="1"/>
      <c r="O99" s="1"/>
    </row>
    <row r="100" spans="2:15">
      <c r="B100" s="54"/>
      <c r="C100" s="55"/>
      <c r="D100" s="56"/>
      <c r="F100" s="39"/>
      <c r="G100" s="40"/>
      <c r="H100" s="41"/>
      <c r="J100" s="32"/>
      <c r="K100" s="33"/>
      <c r="L100" s="34"/>
      <c r="N100" s="1"/>
      <c r="O100" s="1"/>
    </row>
    <row r="101" spans="2:15">
      <c r="B101" s="54"/>
      <c r="C101" s="55"/>
      <c r="D101" s="56"/>
      <c r="F101" s="39"/>
      <c r="G101" s="40"/>
      <c r="H101" s="41"/>
      <c r="J101" s="32"/>
      <c r="K101" s="33"/>
      <c r="L101" s="34"/>
      <c r="N101" s="1"/>
      <c r="O101" s="1"/>
    </row>
    <row r="102" spans="2:15">
      <c r="B102" s="54"/>
      <c r="C102" s="55"/>
      <c r="D102" s="56"/>
      <c r="F102" s="39"/>
      <c r="G102" s="40"/>
      <c r="H102" s="41"/>
      <c r="J102" s="32"/>
      <c r="K102" s="33"/>
      <c r="L102" s="34"/>
      <c r="N102" s="1"/>
      <c r="O102" s="1"/>
    </row>
    <row r="103" spans="2:15">
      <c r="B103" s="54"/>
      <c r="C103" s="55"/>
      <c r="D103" s="56"/>
      <c r="F103" s="39"/>
      <c r="G103" s="40"/>
      <c r="H103" s="41"/>
      <c r="J103" s="32"/>
      <c r="K103" s="33"/>
      <c r="L103" s="34"/>
      <c r="N103" s="1"/>
      <c r="O103" s="1"/>
    </row>
    <row r="104" spans="2:15">
      <c r="B104" s="54"/>
      <c r="C104" s="55"/>
      <c r="D104" s="56"/>
      <c r="F104" s="39"/>
      <c r="G104" s="40"/>
      <c r="H104" s="41"/>
      <c r="J104" s="32"/>
      <c r="K104" s="33"/>
      <c r="L104" s="34"/>
      <c r="N104" s="1"/>
      <c r="O104" s="1"/>
    </row>
    <row r="105" spans="2:15">
      <c r="B105" s="54"/>
      <c r="C105" s="55"/>
      <c r="D105" s="56"/>
      <c r="F105" s="39"/>
      <c r="G105" s="40"/>
      <c r="H105" s="41"/>
      <c r="J105" s="32"/>
      <c r="K105" s="33"/>
      <c r="L105" s="34"/>
      <c r="N105" s="1"/>
      <c r="O105" s="1"/>
    </row>
    <row r="106" spans="2:15">
      <c r="B106" s="54"/>
      <c r="C106" s="55"/>
      <c r="D106" s="56"/>
      <c r="F106" s="39"/>
      <c r="G106" s="40"/>
      <c r="H106" s="41"/>
      <c r="J106" s="32"/>
      <c r="K106" s="33"/>
      <c r="L106" s="34"/>
      <c r="N106" s="1"/>
      <c r="O106" s="1"/>
    </row>
    <row r="107" spans="2:15">
      <c r="B107" s="54"/>
      <c r="C107" s="55"/>
      <c r="D107" s="56"/>
      <c r="F107" s="39"/>
      <c r="G107" s="40"/>
      <c r="H107" s="41"/>
      <c r="J107" s="32"/>
      <c r="K107" s="33"/>
      <c r="L107" s="34"/>
      <c r="N107" s="1"/>
      <c r="O107" s="1"/>
    </row>
    <row r="108" spans="2:15">
      <c r="B108" s="54"/>
      <c r="C108" s="55"/>
      <c r="D108" s="56"/>
      <c r="F108" s="39"/>
      <c r="G108" s="40"/>
      <c r="H108" s="41"/>
      <c r="J108" s="32"/>
      <c r="K108" s="33"/>
      <c r="L108" s="34"/>
      <c r="N108" s="1"/>
      <c r="O108" s="1"/>
    </row>
    <row r="109" spans="2:15">
      <c r="B109" s="54"/>
      <c r="C109" s="55"/>
      <c r="D109" s="56"/>
      <c r="F109" s="39"/>
      <c r="G109" s="40"/>
      <c r="H109" s="41"/>
      <c r="J109" s="32"/>
      <c r="K109" s="33"/>
      <c r="L109" s="34"/>
      <c r="N109" s="1"/>
      <c r="O109" s="1"/>
    </row>
    <row r="110" spans="2:15">
      <c r="B110" s="54"/>
      <c r="C110" s="55"/>
      <c r="D110" s="56"/>
      <c r="F110" s="39"/>
      <c r="G110" s="40"/>
      <c r="H110" s="41"/>
      <c r="J110" s="32"/>
      <c r="K110" s="33"/>
      <c r="L110" s="34"/>
      <c r="N110" s="1"/>
      <c r="O110" s="1"/>
    </row>
    <row r="111" spans="2:15">
      <c r="B111" s="54"/>
      <c r="C111" s="55"/>
      <c r="D111" s="56"/>
      <c r="F111" s="39"/>
      <c r="G111" s="40"/>
      <c r="H111" s="41"/>
      <c r="J111" s="32"/>
      <c r="K111" s="33"/>
      <c r="L111" s="34"/>
      <c r="N111" s="1"/>
      <c r="O111" s="1"/>
    </row>
    <row r="112" spans="2:15">
      <c r="B112" s="54"/>
      <c r="C112" s="55"/>
      <c r="D112" s="56"/>
      <c r="F112" s="39"/>
      <c r="G112" s="40"/>
      <c r="H112" s="41"/>
      <c r="J112" s="32"/>
      <c r="K112" s="33"/>
      <c r="L112" s="34"/>
      <c r="N112" s="1"/>
      <c r="O112" s="1"/>
    </row>
    <row r="113" spans="2:15">
      <c r="B113" s="54"/>
      <c r="C113" s="55"/>
      <c r="D113" s="56"/>
      <c r="F113" s="39"/>
      <c r="G113" s="40"/>
      <c r="H113" s="41"/>
      <c r="J113" s="32"/>
      <c r="K113" s="33"/>
      <c r="L113" s="34"/>
      <c r="N113" s="1"/>
      <c r="O113" s="1"/>
    </row>
    <row r="114" spans="2:15">
      <c r="B114" s="54"/>
      <c r="C114" s="55"/>
      <c r="D114" s="56"/>
      <c r="F114" s="39"/>
      <c r="G114" s="40"/>
      <c r="H114" s="41"/>
      <c r="J114" s="32"/>
      <c r="K114" s="33"/>
      <c r="L114" s="34"/>
      <c r="N114" s="1"/>
      <c r="O114" s="1"/>
    </row>
    <row r="115" spans="2:15">
      <c r="B115" s="54"/>
      <c r="C115" s="55"/>
      <c r="D115" s="56"/>
      <c r="F115" s="39"/>
      <c r="G115" s="40"/>
      <c r="H115" s="41"/>
      <c r="J115" s="32"/>
      <c r="K115" s="33"/>
      <c r="L115" s="34"/>
      <c r="N115" s="1"/>
      <c r="O115" s="1"/>
    </row>
    <row r="116" spans="2:15">
      <c r="B116" s="54"/>
      <c r="C116" s="55"/>
      <c r="D116" s="56"/>
      <c r="F116" s="39"/>
      <c r="G116" s="40"/>
      <c r="H116" s="41"/>
      <c r="J116" s="32"/>
      <c r="K116" s="33"/>
      <c r="L116" s="34"/>
      <c r="N116" s="1"/>
      <c r="O116" s="1"/>
    </row>
    <row r="117" spans="2:15">
      <c r="B117" s="54"/>
      <c r="C117" s="55"/>
      <c r="D117" s="56"/>
      <c r="F117" s="39"/>
      <c r="G117" s="40"/>
      <c r="H117" s="41"/>
      <c r="J117" s="32"/>
      <c r="K117" s="33"/>
      <c r="L117" s="34"/>
      <c r="N117" s="1"/>
      <c r="O117" s="1"/>
    </row>
    <row r="118" spans="2:15">
      <c r="B118" s="54"/>
      <c r="C118" s="55"/>
      <c r="D118" s="56"/>
      <c r="F118" s="39"/>
      <c r="G118" s="40"/>
      <c r="H118" s="41"/>
      <c r="J118" s="32"/>
      <c r="K118" s="33"/>
      <c r="L118" s="34"/>
      <c r="N118" s="1"/>
      <c r="O118" s="1"/>
    </row>
    <row r="119" spans="2:15">
      <c r="B119" s="54"/>
      <c r="C119" s="55"/>
      <c r="D119" s="56"/>
      <c r="F119" s="39"/>
      <c r="G119" s="40"/>
      <c r="H119" s="41"/>
      <c r="J119" s="32"/>
      <c r="K119" s="33"/>
      <c r="L119" s="34"/>
      <c r="N119" s="1"/>
      <c r="O119" s="1"/>
    </row>
    <row r="120" spans="2:15">
      <c r="B120" s="54"/>
      <c r="C120" s="55"/>
      <c r="D120" s="56"/>
      <c r="F120" s="39"/>
      <c r="G120" s="40"/>
      <c r="H120" s="41"/>
      <c r="J120" s="32"/>
      <c r="K120" s="33"/>
      <c r="L120" s="34"/>
      <c r="N120" s="1"/>
      <c r="O120" s="1"/>
    </row>
    <row r="121" spans="2:15">
      <c r="B121" s="54"/>
      <c r="C121" s="55"/>
      <c r="D121" s="56"/>
      <c r="F121" s="39"/>
      <c r="G121" s="40"/>
      <c r="H121" s="41"/>
      <c r="J121" s="32"/>
      <c r="K121" s="33"/>
      <c r="L121" s="34"/>
      <c r="N121" s="1"/>
      <c r="O121" s="1"/>
    </row>
    <row r="122" spans="2:15">
      <c r="B122" s="54"/>
      <c r="C122" s="55"/>
      <c r="D122" s="56"/>
      <c r="F122" s="39"/>
      <c r="G122" s="40"/>
      <c r="H122" s="41"/>
      <c r="J122" s="32"/>
      <c r="K122" s="33"/>
      <c r="L122" s="34"/>
      <c r="N122" s="1"/>
      <c r="O122" s="1"/>
    </row>
    <row r="123" spans="2:15">
      <c r="B123" s="54"/>
      <c r="C123" s="55"/>
      <c r="D123" s="56"/>
      <c r="F123" s="39"/>
      <c r="G123" s="40"/>
      <c r="H123" s="41"/>
      <c r="J123" s="32"/>
      <c r="K123" s="33"/>
      <c r="L123" s="34"/>
      <c r="N123" s="1"/>
      <c r="O123" s="1"/>
    </row>
    <row r="124" spans="2:15">
      <c r="B124" s="54"/>
      <c r="C124" s="55"/>
      <c r="D124" s="56"/>
      <c r="F124" s="39"/>
      <c r="G124" s="40"/>
      <c r="H124" s="41"/>
      <c r="J124" s="32"/>
      <c r="K124" s="33"/>
      <c r="L124" s="34"/>
      <c r="N124" s="1"/>
      <c r="O124" s="1"/>
    </row>
    <row r="125" spans="2:15">
      <c r="B125" s="54"/>
      <c r="C125" s="55"/>
      <c r="D125" s="56"/>
      <c r="F125" s="39"/>
      <c r="G125" s="40"/>
      <c r="H125" s="41"/>
      <c r="J125" s="32"/>
      <c r="K125" s="33"/>
      <c r="L125" s="34"/>
      <c r="N125" s="1"/>
      <c r="O125" s="1"/>
    </row>
    <row r="126" spans="2:15">
      <c r="B126" s="54"/>
      <c r="C126" s="55"/>
      <c r="D126" s="56"/>
      <c r="F126" s="39"/>
      <c r="G126" s="40"/>
      <c r="H126" s="41"/>
      <c r="J126" s="32"/>
      <c r="K126" s="33"/>
      <c r="L126" s="34"/>
      <c r="N126" s="1"/>
      <c r="O126" s="1"/>
    </row>
    <row r="127" spans="2:15">
      <c r="B127" s="54"/>
      <c r="C127" s="55"/>
      <c r="D127" s="56"/>
      <c r="F127" s="39"/>
      <c r="G127" s="40"/>
      <c r="H127" s="41"/>
      <c r="J127" s="32"/>
      <c r="K127" s="33"/>
      <c r="L127" s="34"/>
      <c r="N127" s="1"/>
      <c r="O127" s="1"/>
    </row>
    <row r="128" spans="2:15">
      <c r="B128" s="54"/>
      <c r="C128" s="55"/>
      <c r="D128" s="56"/>
      <c r="F128" s="39"/>
      <c r="G128" s="40"/>
      <c r="H128" s="41"/>
      <c r="J128" s="32"/>
      <c r="K128" s="33"/>
      <c r="L128" s="34"/>
      <c r="N128" s="1"/>
      <c r="O128" s="1"/>
    </row>
    <row r="129" spans="2:15">
      <c r="B129" s="54"/>
      <c r="C129" s="55"/>
      <c r="D129" s="56"/>
      <c r="F129" s="39"/>
      <c r="G129" s="40"/>
      <c r="H129" s="41"/>
      <c r="J129" s="32"/>
      <c r="K129" s="33"/>
      <c r="L129" s="34"/>
      <c r="N129" s="1"/>
      <c r="O129" s="1"/>
    </row>
    <row r="130" spans="2:15">
      <c r="B130" s="54"/>
      <c r="C130" s="55"/>
      <c r="D130" s="56"/>
      <c r="F130" s="39"/>
      <c r="G130" s="40"/>
      <c r="H130" s="41"/>
      <c r="J130" s="32"/>
      <c r="K130" s="33"/>
      <c r="L130" s="34"/>
      <c r="N130" s="1"/>
      <c r="O130" s="1"/>
    </row>
    <row r="131" spans="2:15">
      <c r="B131" s="54"/>
      <c r="C131" s="55"/>
      <c r="D131" s="56"/>
      <c r="F131" s="39"/>
      <c r="G131" s="40"/>
      <c r="H131" s="41"/>
      <c r="J131" s="32"/>
      <c r="K131" s="33"/>
      <c r="L131" s="34"/>
      <c r="N131" s="1"/>
      <c r="O131" s="1"/>
    </row>
    <row r="132" spans="2:15">
      <c r="B132" s="54"/>
      <c r="C132" s="55"/>
      <c r="D132" s="56"/>
      <c r="F132" s="39"/>
      <c r="G132" s="40"/>
      <c r="H132" s="41"/>
      <c r="J132" s="32"/>
      <c r="K132" s="33"/>
      <c r="L132" s="34"/>
      <c r="N132" s="1"/>
      <c r="O132" s="1"/>
    </row>
    <row r="133" spans="2:15">
      <c r="B133" s="54"/>
      <c r="C133" s="55"/>
      <c r="D133" s="56"/>
      <c r="F133" s="39"/>
      <c r="G133" s="40"/>
      <c r="H133" s="41"/>
      <c r="J133" s="32"/>
      <c r="K133" s="33"/>
      <c r="L133" s="34"/>
      <c r="N133" s="1"/>
      <c r="O133" s="1"/>
    </row>
    <row r="134" spans="2:15">
      <c r="B134" s="54"/>
      <c r="C134" s="55"/>
      <c r="D134" s="56"/>
      <c r="F134" s="39"/>
      <c r="G134" s="40"/>
      <c r="H134" s="41"/>
      <c r="J134" s="32"/>
      <c r="K134" s="33"/>
      <c r="L134" s="34"/>
      <c r="N134" s="1"/>
      <c r="O134" s="1"/>
    </row>
    <row r="135" spans="2:15">
      <c r="B135" s="54"/>
      <c r="C135" s="55"/>
      <c r="D135" s="56"/>
      <c r="F135" s="39"/>
      <c r="G135" s="40"/>
      <c r="H135" s="41"/>
      <c r="J135" s="32"/>
      <c r="K135" s="33"/>
      <c r="L135" s="34"/>
      <c r="N135" s="1"/>
      <c r="O135" s="1"/>
    </row>
    <row r="136" spans="2:15">
      <c r="B136" s="54"/>
      <c r="C136" s="55"/>
      <c r="D136" s="56"/>
      <c r="F136" s="39"/>
      <c r="G136" s="40"/>
      <c r="H136" s="41"/>
      <c r="J136" s="32"/>
      <c r="K136" s="33"/>
      <c r="L136" s="34"/>
      <c r="N136" s="1"/>
      <c r="O136" s="1"/>
    </row>
    <row r="137" spans="2:15">
      <c r="B137" s="54"/>
      <c r="C137" s="55"/>
      <c r="D137" s="56"/>
      <c r="F137" s="39"/>
      <c r="G137" s="40"/>
      <c r="H137" s="41"/>
      <c r="J137" s="32"/>
      <c r="K137" s="33"/>
      <c r="L137" s="34"/>
      <c r="N137" s="1"/>
      <c r="O137" s="1"/>
    </row>
    <row r="138" spans="2:15">
      <c r="B138" s="54"/>
      <c r="C138" s="55"/>
      <c r="D138" s="56"/>
      <c r="F138" s="39"/>
      <c r="G138" s="40"/>
      <c r="H138" s="41"/>
      <c r="J138" s="32"/>
      <c r="K138" s="33"/>
      <c r="L138" s="34"/>
      <c r="N138" s="1"/>
      <c r="O138" s="1"/>
    </row>
    <row r="139" spans="2:15">
      <c r="B139" s="54"/>
      <c r="C139" s="55"/>
      <c r="D139" s="56"/>
      <c r="F139" s="39"/>
      <c r="G139" s="40"/>
      <c r="H139" s="41"/>
      <c r="J139" s="32"/>
      <c r="K139" s="33"/>
      <c r="L139" s="34"/>
      <c r="N139" s="1"/>
      <c r="O139" s="1"/>
    </row>
    <row r="140" spans="2:15">
      <c r="B140" s="54"/>
      <c r="C140" s="55"/>
      <c r="D140" s="56"/>
      <c r="F140" s="39"/>
      <c r="G140" s="40"/>
      <c r="H140" s="41"/>
      <c r="J140" s="32"/>
      <c r="K140" s="33"/>
      <c r="L140" s="34"/>
      <c r="N140" s="1"/>
      <c r="O140" s="1"/>
    </row>
    <row r="141" spans="2:15">
      <c r="B141" s="54"/>
      <c r="C141" s="55"/>
      <c r="D141" s="56"/>
      <c r="F141" s="39"/>
      <c r="G141" s="40"/>
      <c r="H141" s="41"/>
      <c r="J141" s="32"/>
      <c r="K141" s="33"/>
      <c r="L141" s="34"/>
      <c r="N141" s="1"/>
      <c r="O141" s="1"/>
    </row>
    <row r="142" spans="2:15">
      <c r="B142" s="54"/>
      <c r="C142" s="55"/>
      <c r="D142" s="56"/>
      <c r="F142" s="39"/>
      <c r="G142" s="40"/>
      <c r="H142" s="41"/>
      <c r="J142" s="32"/>
      <c r="K142" s="33"/>
      <c r="L142" s="34"/>
      <c r="N142" s="1"/>
      <c r="O142" s="1"/>
    </row>
    <row r="143" spans="2:15">
      <c r="B143" s="54"/>
      <c r="C143" s="55"/>
      <c r="D143" s="56"/>
      <c r="F143" s="39"/>
      <c r="G143" s="40"/>
      <c r="H143" s="41"/>
      <c r="J143" s="32"/>
      <c r="K143" s="33"/>
      <c r="L143" s="34"/>
      <c r="N143" s="1"/>
      <c r="O143" s="1"/>
    </row>
    <row r="144" spans="2:15">
      <c r="B144" s="54"/>
      <c r="C144" s="55"/>
      <c r="D144" s="56"/>
      <c r="F144" s="39"/>
      <c r="G144" s="40"/>
      <c r="H144" s="41"/>
      <c r="J144" s="32"/>
      <c r="K144" s="33"/>
      <c r="L144" s="34"/>
      <c r="N144" s="1"/>
      <c r="O144" s="1"/>
    </row>
    <row r="145" spans="2:15">
      <c r="B145" s="54"/>
      <c r="C145" s="55"/>
      <c r="D145" s="56"/>
      <c r="F145" s="39"/>
      <c r="G145" s="40"/>
      <c r="H145" s="41"/>
      <c r="J145" s="32"/>
      <c r="K145" s="33"/>
      <c r="L145" s="34"/>
      <c r="N145" s="1"/>
      <c r="O145" s="1"/>
    </row>
    <row r="146" spans="2:15">
      <c r="B146" s="54"/>
      <c r="C146" s="55"/>
      <c r="D146" s="56"/>
      <c r="F146" s="39"/>
      <c r="G146" s="40"/>
      <c r="H146" s="41"/>
      <c r="J146" s="32"/>
      <c r="K146" s="33"/>
      <c r="L146" s="34"/>
      <c r="N146" s="1"/>
      <c r="O146" s="1"/>
    </row>
    <row r="147" spans="2:15">
      <c r="B147" s="54"/>
      <c r="C147" s="55"/>
      <c r="D147" s="56"/>
      <c r="F147" s="39"/>
      <c r="G147" s="40"/>
      <c r="H147" s="41"/>
      <c r="J147" s="32"/>
      <c r="K147" s="33"/>
      <c r="L147" s="34"/>
      <c r="N147" s="1"/>
      <c r="O147" s="1"/>
    </row>
    <row r="148" spans="2:15">
      <c r="B148" s="54"/>
      <c r="C148" s="55"/>
      <c r="D148" s="56"/>
      <c r="F148" s="39"/>
      <c r="G148" s="40"/>
      <c r="H148" s="41"/>
      <c r="J148" s="32"/>
      <c r="K148" s="33"/>
      <c r="L148" s="34"/>
      <c r="N148" s="1"/>
      <c r="O148" s="1"/>
    </row>
    <row r="149" spans="2:15">
      <c r="B149" s="54"/>
      <c r="C149" s="55"/>
      <c r="D149" s="56"/>
      <c r="F149" s="39"/>
      <c r="G149" s="40"/>
      <c r="H149" s="41"/>
      <c r="J149" s="32"/>
      <c r="K149" s="33"/>
      <c r="L149" s="34"/>
      <c r="N149" s="1"/>
      <c r="O149" s="1"/>
    </row>
    <row r="150" spans="2:15">
      <c r="B150" s="54"/>
      <c r="C150" s="55"/>
      <c r="D150" s="56"/>
      <c r="F150" s="39"/>
      <c r="G150" s="40"/>
      <c r="H150" s="41"/>
      <c r="J150" s="32"/>
      <c r="K150" s="33"/>
      <c r="L150" s="34"/>
      <c r="N150" s="1"/>
      <c r="O150" s="1"/>
    </row>
    <row r="151" spans="2:15">
      <c r="B151" s="54"/>
      <c r="C151" s="55"/>
      <c r="D151" s="56"/>
      <c r="F151" s="39"/>
      <c r="G151" s="40"/>
      <c r="H151" s="41"/>
      <c r="J151" s="32"/>
      <c r="K151" s="33"/>
      <c r="L151" s="34"/>
      <c r="N151" s="1"/>
      <c r="O151" s="1"/>
    </row>
    <row r="152" spans="2:15">
      <c r="B152" s="54"/>
      <c r="C152" s="55"/>
      <c r="D152" s="56"/>
      <c r="F152" s="39"/>
      <c r="G152" s="40"/>
      <c r="H152" s="41"/>
      <c r="J152" s="32"/>
      <c r="K152" s="33"/>
      <c r="L152" s="34"/>
      <c r="N152" s="1"/>
      <c r="O152" s="1"/>
    </row>
    <row r="153" spans="2:15">
      <c r="B153" s="54"/>
      <c r="C153" s="55"/>
      <c r="D153" s="56"/>
      <c r="F153" s="39"/>
      <c r="G153" s="40"/>
      <c r="H153" s="41"/>
      <c r="J153" s="32"/>
      <c r="K153" s="33"/>
      <c r="L153" s="34"/>
      <c r="N153" s="1"/>
      <c r="O153" s="1"/>
    </row>
    <row r="154" spans="2:15">
      <c r="B154" s="54"/>
      <c r="C154" s="55"/>
      <c r="D154" s="56"/>
      <c r="F154" s="39"/>
      <c r="G154" s="40"/>
      <c r="H154" s="41"/>
      <c r="J154" s="32"/>
      <c r="K154" s="33"/>
      <c r="L154" s="34"/>
      <c r="N154" s="1"/>
      <c r="O154" s="1"/>
    </row>
    <row r="155" spans="2:15">
      <c r="B155" s="54"/>
      <c r="C155" s="55"/>
      <c r="D155" s="56"/>
      <c r="F155" s="39"/>
      <c r="G155" s="40"/>
      <c r="H155" s="41"/>
      <c r="J155" s="32"/>
      <c r="K155" s="33"/>
      <c r="L155" s="34"/>
      <c r="N155" s="1"/>
      <c r="O155" s="1"/>
    </row>
    <row r="156" spans="2:15">
      <c r="B156" s="54"/>
      <c r="C156" s="55"/>
      <c r="D156" s="56"/>
      <c r="F156" s="39"/>
      <c r="G156" s="40"/>
      <c r="H156" s="41"/>
      <c r="J156" s="32"/>
      <c r="K156" s="33"/>
      <c r="L156" s="34"/>
      <c r="N156" s="1"/>
      <c r="O156" s="1"/>
    </row>
    <row r="157" spans="2:15">
      <c r="B157" s="54"/>
      <c r="C157" s="55"/>
      <c r="D157" s="56"/>
      <c r="F157" s="39"/>
      <c r="G157" s="40"/>
      <c r="H157" s="41"/>
      <c r="J157" s="32"/>
      <c r="K157" s="33"/>
      <c r="L157" s="34"/>
      <c r="N157" s="1"/>
      <c r="O157" s="1"/>
    </row>
    <row r="158" spans="2:15">
      <c r="B158" s="54"/>
      <c r="C158" s="55"/>
      <c r="D158" s="56"/>
      <c r="F158" s="39"/>
      <c r="G158" s="40"/>
      <c r="H158" s="41"/>
      <c r="J158" s="32"/>
      <c r="K158" s="33"/>
      <c r="L158" s="34"/>
      <c r="N158" s="1"/>
      <c r="O158" s="1"/>
    </row>
    <row r="159" spans="2:15">
      <c r="B159" s="54"/>
      <c r="C159" s="55"/>
      <c r="D159" s="56"/>
      <c r="F159" s="39"/>
      <c r="G159" s="40"/>
      <c r="H159" s="41"/>
      <c r="J159" s="32"/>
      <c r="K159" s="33"/>
      <c r="L159" s="34"/>
      <c r="N159" s="1"/>
      <c r="O159" s="1"/>
    </row>
    <row r="160" spans="2:15">
      <c r="B160" s="54"/>
      <c r="C160" s="55"/>
      <c r="D160" s="56"/>
      <c r="F160" s="39"/>
      <c r="G160" s="40"/>
      <c r="H160" s="41"/>
      <c r="J160" s="32"/>
      <c r="K160" s="33"/>
      <c r="L160" s="34"/>
      <c r="N160" s="1"/>
      <c r="O160" s="1"/>
    </row>
    <row r="161" spans="2:15">
      <c r="B161" s="54"/>
      <c r="C161" s="55"/>
      <c r="D161" s="56"/>
      <c r="F161" s="39"/>
      <c r="G161" s="40"/>
      <c r="H161" s="41"/>
      <c r="J161" s="32"/>
      <c r="K161" s="33"/>
      <c r="L161" s="34"/>
      <c r="N161" s="1"/>
      <c r="O161" s="1"/>
    </row>
    <row r="162" spans="2:15">
      <c r="B162" s="54"/>
      <c r="C162" s="55"/>
      <c r="D162" s="56"/>
      <c r="F162" s="39"/>
      <c r="G162" s="40"/>
      <c r="H162" s="41"/>
      <c r="J162" s="32"/>
      <c r="K162" s="33"/>
      <c r="L162" s="34"/>
      <c r="N162" s="1"/>
      <c r="O162" s="1"/>
    </row>
    <row r="163" spans="2:15">
      <c r="B163" s="54"/>
      <c r="C163" s="55"/>
      <c r="D163" s="56"/>
      <c r="F163" s="39"/>
      <c r="G163" s="40"/>
      <c r="H163" s="41"/>
      <c r="J163" s="32"/>
      <c r="K163" s="33"/>
      <c r="L163" s="34"/>
      <c r="N163" s="1"/>
      <c r="O163" s="1"/>
    </row>
    <row r="164" spans="2:15">
      <c r="B164" s="54"/>
      <c r="C164" s="55"/>
      <c r="D164" s="56"/>
      <c r="F164" s="39"/>
      <c r="G164" s="40"/>
      <c r="H164" s="41"/>
      <c r="J164" s="32"/>
      <c r="K164" s="33"/>
      <c r="L164" s="34"/>
      <c r="N164" s="1"/>
      <c r="O164" s="1"/>
    </row>
    <row r="165" spans="2:15">
      <c r="B165" s="54"/>
      <c r="C165" s="55"/>
      <c r="D165" s="56"/>
      <c r="F165" s="39"/>
      <c r="G165" s="40"/>
      <c r="H165" s="41"/>
      <c r="J165" s="32"/>
      <c r="K165" s="33"/>
      <c r="L165" s="34"/>
      <c r="N165" s="1"/>
      <c r="O165" s="1"/>
    </row>
    <row r="166" spans="2:15">
      <c r="B166" s="54"/>
      <c r="C166" s="55"/>
      <c r="D166" s="56"/>
      <c r="F166" s="39"/>
      <c r="G166" s="40"/>
      <c r="H166" s="41"/>
      <c r="J166" s="32"/>
      <c r="K166" s="33"/>
      <c r="L166" s="34"/>
      <c r="N166" s="1"/>
      <c r="O166" s="1"/>
    </row>
    <row r="167" spans="2:15">
      <c r="B167" s="54"/>
      <c r="C167" s="55"/>
      <c r="D167" s="56"/>
      <c r="F167" s="39"/>
      <c r="G167" s="40"/>
      <c r="H167" s="41"/>
      <c r="J167" s="32"/>
      <c r="K167" s="33"/>
      <c r="L167" s="34"/>
      <c r="N167" s="1"/>
      <c r="O167" s="1"/>
    </row>
    <row r="168" spans="2:15">
      <c r="B168" s="54"/>
      <c r="C168" s="55"/>
      <c r="D168" s="56"/>
      <c r="F168" s="39"/>
      <c r="G168" s="40"/>
      <c r="H168" s="41"/>
      <c r="J168" s="32"/>
      <c r="K168" s="33"/>
      <c r="L168" s="34"/>
      <c r="N168" s="1"/>
      <c r="O168" s="1"/>
    </row>
    <row r="169" spans="2:15">
      <c r="B169" s="54"/>
      <c r="C169" s="55"/>
      <c r="D169" s="56"/>
      <c r="F169" s="39"/>
      <c r="G169" s="40"/>
      <c r="H169" s="41"/>
      <c r="J169" s="32"/>
      <c r="K169" s="33"/>
      <c r="L169" s="34"/>
      <c r="N169" s="1"/>
      <c r="O169" s="1"/>
    </row>
    <row r="170" spans="2:15">
      <c r="B170" s="54"/>
      <c r="C170" s="55"/>
      <c r="D170" s="56"/>
      <c r="F170" s="39"/>
      <c r="G170" s="40"/>
      <c r="H170" s="41"/>
      <c r="J170" s="32"/>
      <c r="K170" s="33"/>
      <c r="L170" s="34"/>
      <c r="N170" s="1"/>
      <c r="O170" s="1"/>
    </row>
    <row r="171" spans="2:15">
      <c r="B171" s="54"/>
      <c r="C171" s="55"/>
      <c r="D171" s="56"/>
      <c r="F171" s="39"/>
      <c r="G171" s="40"/>
      <c r="H171" s="41"/>
      <c r="J171" s="32"/>
      <c r="K171" s="33"/>
      <c r="L171" s="34"/>
      <c r="N171" s="1"/>
      <c r="O171" s="1"/>
    </row>
    <row r="172" spans="2:15">
      <c r="B172" s="54"/>
      <c r="C172" s="55"/>
      <c r="D172" s="56"/>
      <c r="F172" s="39"/>
      <c r="G172" s="40"/>
      <c r="H172" s="41"/>
      <c r="J172" s="32"/>
      <c r="K172" s="33"/>
      <c r="L172" s="34"/>
      <c r="N172" s="1"/>
      <c r="O172" s="1"/>
    </row>
    <row r="173" spans="2:15">
      <c r="B173" s="54"/>
      <c r="C173" s="55"/>
      <c r="D173" s="56"/>
      <c r="F173" s="39"/>
      <c r="G173" s="40"/>
      <c r="H173" s="41"/>
      <c r="J173" s="32"/>
      <c r="K173" s="33"/>
      <c r="L173" s="34"/>
      <c r="N173" s="1"/>
      <c r="O173" s="1"/>
    </row>
    <row r="174" spans="2:15">
      <c r="B174" s="54"/>
      <c r="C174" s="55"/>
      <c r="D174" s="56"/>
      <c r="F174" s="39"/>
      <c r="G174" s="40"/>
      <c r="H174" s="41"/>
      <c r="J174" s="32"/>
      <c r="K174" s="33"/>
      <c r="L174" s="34"/>
      <c r="N174" s="1"/>
      <c r="O174" s="1"/>
    </row>
    <row r="175" spans="2:15">
      <c r="B175" s="54"/>
      <c r="C175" s="55"/>
      <c r="D175" s="56"/>
      <c r="F175" s="39"/>
      <c r="G175" s="40"/>
      <c r="H175" s="41"/>
      <c r="J175" s="32"/>
      <c r="K175" s="33"/>
      <c r="L175" s="34"/>
      <c r="N175" s="1"/>
      <c r="O175" s="1"/>
    </row>
    <row r="176" spans="2:15">
      <c r="B176" s="54"/>
      <c r="C176" s="55"/>
      <c r="D176" s="56"/>
      <c r="F176" s="39"/>
      <c r="G176" s="40"/>
      <c r="H176" s="41"/>
      <c r="J176" s="32"/>
      <c r="K176" s="33"/>
      <c r="L176" s="34"/>
      <c r="N176" s="1"/>
      <c r="O176" s="1"/>
    </row>
    <row r="177" spans="2:15">
      <c r="B177" s="54"/>
      <c r="C177" s="55"/>
      <c r="D177" s="56"/>
      <c r="F177" s="39"/>
      <c r="G177" s="40"/>
      <c r="H177" s="41"/>
      <c r="J177" s="32"/>
      <c r="K177" s="33"/>
      <c r="L177" s="34"/>
      <c r="N177" s="1"/>
      <c r="O177" s="1"/>
    </row>
    <row r="178" spans="2:15">
      <c r="B178" s="54"/>
      <c r="C178" s="55"/>
      <c r="D178" s="56"/>
      <c r="F178" s="39"/>
      <c r="G178" s="40"/>
      <c r="H178" s="41"/>
      <c r="J178" s="32"/>
      <c r="K178" s="33"/>
      <c r="L178" s="34"/>
      <c r="N178" s="1"/>
      <c r="O178" s="1"/>
    </row>
    <row r="179" spans="2:15">
      <c r="B179" s="54"/>
      <c r="C179" s="55"/>
      <c r="D179" s="56"/>
      <c r="F179" s="39"/>
      <c r="G179" s="40"/>
      <c r="H179" s="41"/>
      <c r="J179" s="32"/>
      <c r="K179" s="33"/>
      <c r="L179" s="34"/>
      <c r="N179" s="1"/>
      <c r="O179" s="1"/>
    </row>
    <row r="180" spans="2:15">
      <c r="B180" s="54"/>
      <c r="C180" s="55"/>
      <c r="D180" s="56"/>
      <c r="F180" s="39"/>
      <c r="G180" s="40"/>
      <c r="H180" s="41"/>
      <c r="J180" s="32"/>
      <c r="K180" s="33"/>
      <c r="L180" s="34"/>
      <c r="N180" s="1"/>
      <c r="O180" s="1"/>
    </row>
    <row r="181" spans="2:15">
      <c r="B181" s="54"/>
      <c r="C181" s="55"/>
      <c r="D181" s="56"/>
      <c r="F181" s="39"/>
      <c r="G181" s="40"/>
      <c r="H181" s="41"/>
      <c r="J181" s="32"/>
      <c r="K181" s="33"/>
      <c r="L181" s="34"/>
      <c r="N181" s="1"/>
      <c r="O181" s="1"/>
    </row>
    <row r="182" spans="2:15">
      <c r="B182" s="54"/>
      <c r="C182" s="55"/>
      <c r="D182" s="56"/>
      <c r="F182" s="39"/>
      <c r="G182" s="40"/>
      <c r="H182" s="41"/>
      <c r="J182" s="32"/>
      <c r="K182" s="33"/>
      <c r="L182" s="34"/>
      <c r="N182" s="1"/>
      <c r="O182" s="1"/>
    </row>
    <row r="183" spans="2:15">
      <c r="B183" s="54"/>
      <c r="C183" s="55"/>
      <c r="D183" s="56"/>
      <c r="F183" s="39"/>
      <c r="G183" s="40"/>
      <c r="H183" s="41"/>
      <c r="J183" s="32"/>
      <c r="K183" s="33"/>
      <c r="L183" s="34"/>
      <c r="N183" s="1"/>
      <c r="O183" s="1"/>
    </row>
    <row r="184" spans="2:15">
      <c r="B184" s="54"/>
      <c r="C184" s="55"/>
      <c r="D184" s="56"/>
      <c r="F184" s="39"/>
      <c r="G184" s="40"/>
      <c r="H184" s="41"/>
      <c r="J184" s="32"/>
      <c r="K184" s="33"/>
      <c r="L184" s="34"/>
      <c r="N184" s="1"/>
      <c r="O184" s="1"/>
    </row>
    <row r="185" spans="2:15">
      <c r="B185" s="54"/>
      <c r="C185" s="55"/>
      <c r="D185" s="56"/>
      <c r="F185" s="39"/>
      <c r="G185" s="40"/>
      <c r="H185" s="41"/>
      <c r="J185" s="32"/>
      <c r="K185" s="33"/>
      <c r="L185" s="34"/>
      <c r="N185" s="1"/>
      <c r="O185" s="1"/>
    </row>
    <row r="186" spans="2:15">
      <c r="B186" s="54"/>
      <c r="C186" s="55"/>
      <c r="D186" s="56"/>
      <c r="F186" s="39"/>
      <c r="G186" s="40"/>
      <c r="H186" s="41"/>
      <c r="J186" s="32"/>
      <c r="K186" s="33"/>
      <c r="L186" s="34"/>
      <c r="N186" s="1"/>
      <c r="O186" s="1"/>
    </row>
    <row r="187" spans="2:15">
      <c r="B187" s="54"/>
      <c r="C187" s="55"/>
      <c r="D187" s="56"/>
      <c r="F187" s="39"/>
      <c r="G187" s="40"/>
      <c r="H187" s="41"/>
      <c r="J187" s="32"/>
      <c r="K187" s="33"/>
      <c r="L187" s="34"/>
      <c r="N187" s="1"/>
      <c r="O187" s="1"/>
    </row>
    <row r="188" spans="2:15">
      <c r="B188" s="54"/>
      <c r="C188" s="55"/>
      <c r="D188" s="56"/>
      <c r="F188" s="39"/>
      <c r="G188" s="40"/>
      <c r="H188" s="41"/>
      <c r="J188" s="32"/>
      <c r="K188" s="33"/>
      <c r="L188" s="34"/>
      <c r="N188" s="1"/>
      <c r="O188" s="1"/>
    </row>
    <row r="189" spans="2:15">
      <c r="B189" s="54"/>
      <c r="C189" s="55"/>
      <c r="D189" s="56"/>
      <c r="F189" s="39"/>
      <c r="G189" s="40"/>
      <c r="H189" s="41"/>
      <c r="J189" s="32"/>
      <c r="K189" s="33"/>
      <c r="L189" s="34"/>
      <c r="N189" s="1"/>
      <c r="O189" s="1"/>
    </row>
    <row r="190" spans="2:15">
      <c r="B190" s="54"/>
      <c r="C190" s="55"/>
      <c r="D190" s="56"/>
      <c r="F190" s="39"/>
      <c r="G190" s="40"/>
      <c r="H190" s="41"/>
      <c r="J190" s="32"/>
      <c r="K190" s="33"/>
      <c r="L190" s="34"/>
      <c r="N190" s="1"/>
      <c r="O190" s="1"/>
    </row>
    <row r="191" spans="2:15">
      <c r="B191" s="54"/>
      <c r="C191" s="55"/>
      <c r="D191" s="56"/>
      <c r="F191" s="39"/>
      <c r="G191" s="40"/>
      <c r="H191" s="41"/>
      <c r="J191" s="32"/>
      <c r="K191" s="33"/>
      <c r="L191" s="34"/>
      <c r="N191" s="1"/>
      <c r="O191" s="1"/>
    </row>
    <row r="192" spans="2:15">
      <c r="B192" s="54"/>
      <c r="C192" s="55"/>
      <c r="D192" s="56"/>
      <c r="F192" s="39"/>
      <c r="G192" s="40"/>
      <c r="H192" s="41"/>
      <c r="J192" s="32"/>
      <c r="K192" s="33"/>
      <c r="L192" s="34"/>
      <c r="N192" s="1"/>
      <c r="O192" s="1"/>
    </row>
    <row r="193" spans="2:15">
      <c r="B193" s="54"/>
      <c r="C193" s="55"/>
      <c r="D193" s="56"/>
      <c r="F193" s="39"/>
      <c r="G193" s="40"/>
      <c r="H193" s="41"/>
      <c r="J193" s="32"/>
      <c r="K193" s="33"/>
      <c r="L193" s="34"/>
      <c r="N193" s="1"/>
      <c r="O193" s="1"/>
    </row>
    <row r="194" spans="2:15">
      <c r="B194" s="54"/>
      <c r="C194" s="55"/>
      <c r="D194" s="56"/>
      <c r="F194" s="39"/>
      <c r="G194" s="40"/>
      <c r="H194" s="41"/>
      <c r="J194" s="32"/>
      <c r="K194" s="33"/>
      <c r="L194" s="34"/>
      <c r="N194" s="1"/>
      <c r="O194" s="1"/>
    </row>
    <row r="195" spans="2:15">
      <c r="B195" s="54"/>
      <c r="C195" s="55"/>
      <c r="D195" s="56"/>
      <c r="F195" s="39"/>
      <c r="G195" s="40"/>
      <c r="H195" s="41"/>
      <c r="J195" s="32"/>
      <c r="K195" s="33"/>
      <c r="L195" s="34"/>
      <c r="N195" s="1"/>
      <c r="O195" s="1"/>
    </row>
    <row r="196" spans="2:15">
      <c r="B196" s="54"/>
      <c r="C196" s="55"/>
      <c r="D196" s="56"/>
      <c r="F196" s="39"/>
      <c r="G196" s="40"/>
      <c r="H196" s="41"/>
      <c r="J196" s="32"/>
      <c r="K196" s="33"/>
      <c r="L196" s="34"/>
      <c r="N196" s="1"/>
      <c r="O196" s="1"/>
    </row>
    <row r="197" spans="2:15">
      <c r="B197" s="54"/>
      <c r="C197" s="55"/>
      <c r="D197" s="56"/>
      <c r="F197" s="39"/>
      <c r="G197" s="40"/>
      <c r="H197" s="41"/>
      <c r="J197" s="32"/>
      <c r="K197" s="33"/>
      <c r="L197" s="34"/>
      <c r="N197" s="1"/>
      <c r="O197" s="1"/>
    </row>
    <row r="198" spans="2:15">
      <c r="B198" s="54"/>
      <c r="C198" s="55"/>
      <c r="D198" s="56"/>
      <c r="F198" s="39"/>
      <c r="G198" s="40"/>
      <c r="H198" s="41"/>
      <c r="J198" s="32"/>
      <c r="K198" s="33"/>
      <c r="L198" s="34"/>
      <c r="N198" s="1"/>
      <c r="O198" s="1"/>
    </row>
    <row r="199" spans="2:15">
      <c r="B199" s="54"/>
      <c r="C199" s="55"/>
      <c r="D199" s="56"/>
      <c r="F199" s="39"/>
      <c r="G199" s="40"/>
      <c r="H199" s="41"/>
      <c r="J199" s="32"/>
      <c r="K199" s="33"/>
      <c r="L199" s="34"/>
      <c r="N199" s="1"/>
      <c r="O199" s="1"/>
    </row>
    <row r="200" spans="2:15">
      <c r="B200" s="54"/>
      <c r="C200" s="55"/>
      <c r="D200" s="56"/>
      <c r="F200" s="39"/>
      <c r="G200" s="40"/>
      <c r="H200" s="41"/>
      <c r="J200" s="32"/>
      <c r="K200" s="33"/>
      <c r="L200" s="34"/>
      <c r="N200" s="1"/>
      <c r="O200" s="1"/>
    </row>
    <row r="201" spans="2:15">
      <c r="B201" s="54"/>
      <c r="C201" s="55"/>
      <c r="D201" s="56"/>
      <c r="F201" s="39"/>
      <c r="G201" s="40"/>
      <c r="H201" s="41"/>
      <c r="J201" s="32"/>
      <c r="K201" s="33"/>
      <c r="L201" s="34"/>
      <c r="N201" s="1"/>
      <c r="O201" s="1"/>
    </row>
    <row r="202" spans="2:15">
      <c r="B202" s="54"/>
      <c r="C202" s="55"/>
      <c r="D202" s="56"/>
      <c r="F202" s="39"/>
      <c r="G202" s="40"/>
      <c r="H202" s="41"/>
      <c r="J202" s="32"/>
      <c r="K202" s="33"/>
      <c r="L202" s="34"/>
      <c r="N202" s="1"/>
      <c r="O202" s="1"/>
    </row>
    <row r="203" spans="2:15">
      <c r="B203" s="54"/>
      <c r="C203" s="55"/>
      <c r="D203" s="56"/>
      <c r="F203" s="39"/>
      <c r="G203" s="40"/>
      <c r="H203" s="41"/>
      <c r="J203" s="32"/>
      <c r="K203" s="33"/>
      <c r="L203" s="34"/>
      <c r="N203" s="1"/>
      <c r="O203" s="1"/>
    </row>
    <row r="204" spans="2:15">
      <c r="B204" s="54"/>
      <c r="C204" s="55"/>
      <c r="D204" s="56"/>
      <c r="F204" s="39"/>
      <c r="G204" s="40"/>
      <c r="H204" s="41"/>
      <c r="J204" s="32"/>
      <c r="K204" s="33"/>
      <c r="L204" s="34"/>
      <c r="N204" s="1"/>
      <c r="O204" s="1"/>
    </row>
    <row r="205" spans="2:15">
      <c r="B205" s="54"/>
      <c r="C205" s="55"/>
      <c r="D205" s="56"/>
      <c r="F205" s="39"/>
      <c r="G205" s="40"/>
      <c r="H205" s="41"/>
      <c r="J205" s="32"/>
      <c r="K205" s="33"/>
      <c r="L205" s="34"/>
      <c r="N205" s="1"/>
      <c r="O205" s="1"/>
    </row>
    <row r="206" spans="2:15">
      <c r="B206" s="54"/>
      <c r="C206" s="55"/>
      <c r="D206" s="56"/>
      <c r="F206" s="39"/>
      <c r="G206" s="40"/>
      <c r="H206" s="41"/>
      <c r="J206" s="32"/>
      <c r="K206" s="33"/>
      <c r="L206" s="34"/>
      <c r="N206" s="1"/>
      <c r="O206" s="1"/>
    </row>
    <row r="207" spans="2:15">
      <c r="B207" s="54"/>
      <c r="C207" s="55"/>
      <c r="D207" s="56"/>
      <c r="F207" s="39"/>
      <c r="G207" s="40"/>
      <c r="H207" s="41"/>
      <c r="J207" s="32"/>
      <c r="K207" s="33"/>
      <c r="L207" s="34"/>
      <c r="N207" s="1"/>
      <c r="O207" s="1"/>
    </row>
    <row r="208" spans="2:15">
      <c r="B208" s="54"/>
      <c r="C208" s="55"/>
      <c r="D208" s="56"/>
      <c r="F208" s="39"/>
      <c r="G208" s="40"/>
      <c r="H208" s="41"/>
      <c r="J208" s="32"/>
      <c r="K208" s="33"/>
      <c r="L208" s="34"/>
      <c r="N208" s="1"/>
      <c r="O208" s="1"/>
    </row>
    <row r="209" spans="2:15">
      <c r="B209" s="54"/>
      <c r="C209" s="55"/>
      <c r="D209" s="56"/>
      <c r="F209" s="39"/>
      <c r="G209" s="40"/>
      <c r="H209" s="41"/>
      <c r="J209" s="32"/>
      <c r="K209" s="33"/>
      <c r="L209" s="34"/>
      <c r="N209" s="1"/>
      <c r="O209" s="1"/>
    </row>
    <row r="210" spans="2:15">
      <c r="B210" s="54"/>
      <c r="C210" s="55"/>
      <c r="D210" s="56"/>
      <c r="F210" s="39"/>
      <c r="G210" s="40"/>
      <c r="H210" s="41"/>
      <c r="J210" s="32"/>
      <c r="K210" s="33"/>
      <c r="L210" s="34"/>
      <c r="N210" s="1"/>
      <c r="O210" s="1"/>
    </row>
    <row r="211" spans="2:15">
      <c r="B211" s="54"/>
      <c r="C211" s="55"/>
      <c r="D211" s="56"/>
      <c r="F211" s="39"/>
      <c r="G211" s="40"/>
      <c r="H211" s="41"/>
      <c r="J211" s="32"/>
      <c r="K211" s="33"/>
      <c r="L211" s="34"/>
      <c r="N211" s="1"/>
      <c r="O211" s="1"/>
    </row>
    <row r="212" spans="2:15">
      <c r="B212" s="54"/>
      <c r="C212" s="55"/>
      <c r="D212" s="56"/>
      <c r="F212" s="39"/>
      <c r="G212" s="40"/>
      <c r="H212" s="41"/>
      <c r="J212" s="32"/>
      <c r="K212" s="33"/>
      <c r="L212" s="34"/>
      <c r="N212" s="1"/>
      <c r="O212" s="1"/>
    </row>
    <row r="213" spans="2:15">
      <c r="B213" s="54"/>
      <c r="C213" s="55"/>
      <c r="D213" s="56"/>
      <c r="F213" s="39"/>
      <c r="G213" s="40"/>
      <c r="H213" s="41"/>
      <c r="J213" s="32"/>
      <c r="K213" s="33"/>
      <c r="L213" s="34"/>
      <c r="N213" s="1"/>
      <c r="O213" s="1"/>
    </row>
    <row r="214" spans="2:15">
      <c r="B214" s="54"/>
      <c r="C214" s="55"/>
      <c r="D214" s="56"/>
      <c r="F214" s="39"/>
      <c r="G214" s="40"/>
      <c r="H214" s="41"/>
      <c r="J214" s="32"/>
      <c r="K214" s="33"/>
      <c r="L214" s="34"/>
      <c r="N214" s="1"/>
      <c r="O214" s="1"/>
    </row>
    <row r="215" spans="2:15">
      <c r="B215" s="54"/>
      <c r="C215" s="55"/>
      <c r="D215" s="56"/>
      <c r="F215" s="39"/>
      <c r="G215" s="40"/>
      <c r="H215" s="41"/>
      <c r="J215" s="32"/>
      <c r="K215" s="33"/>
      <c r="L215" s="34"/>
      <c r="N215" s="1"/>
      <c r="O215" s="1"/>
    </row>
    <row r="216" spans="2:15">
      <c r="B216" s="54"/>
      <c r="C216" s="55"/>
      <c r="D216" s="56"/>
      <c r="F216" s="39"/>
      <c r="G216" s="40"/>
      <c r="H216" s="41"/>
      <c r="J216" s="32"/>
      <c r="K216" s="33"/>
      <c r="L216" s="34"/>
      <c r="N216" s="1"/>
      <c r="O216" s="1"/>
    </row>
    <row r="217" spans="2:15">
      <c r="B217" s="54"/>
      <c r="C217" s="55"/>
      <c r="D217" s="56"/>
      <c r="F217" s="39"/>
      <c r="G217" s="40"/>
      <c r="H217" s="41"/>
      <c r="J217" s="32"/>
      <c r="K217" s="33"/>
      <c r="L217" s="34"/>
      <c r="N217" s="1"/>
      <c r="O217" s="1"/>
    </row>
    <row r="218" spans="2:15">
      <c r="B218" s="54"/>
      <c r="C218" s="55"/>
      <c r="D218" s="56"/>
      <c r="F218" s="39"/>
      <c r="G218" s="40"/>
      <c r="H218" s="41"/>
      <c r="J218" s="32"/>
      <c r="K218" s="33"/>
      <c r="L218" s="34"/>
      <c r="N218" s="1"/>
      <c r="O218" s="1"/>
    </row>
    <row r="219" spans="2:15">
      <c r="B219" s="54"/>
      <c r="C219" s="55"/>
      <c r="D219" s="56"/>
      <c r="F219" s="39"/>
      <c r="G219" s="40"/>
      <c r="H219" s="41"/>
      <c r="J219" s="32"/>
      <c r="K219" s="33"/>
      <c r="L219" s="34"/>
      <c r="N219" s="1"/>
      <c r="O219" s="1"/>
    </row>
    <row r="220" spans="2:15">
      <c r="B220" s="54"/>
      <c r="C220" s="55"/>
      <c r="D220" s="56"/>
      <c r="F220" s="39"/>
      <c r="G220" s="40"/>
      <c r="H220" s="41"/>
      <c r="J220" s="32"/>
      <c r="K220" s="33"/>
      <c r="L220" s="34"/>
      <c r="N220" s="1"/>
      <c r="O220" s="1"/>
    </row>
    <row r="221" spans="2:15">
      <c r="B221" s="54"/>
      <c r="C221" s="55"/>
      <c r="D221" s="56"/>
      <c r="F221" s="39"/>
      <c r="G221" s="40"/>
      <c r="H221" s="41"/>
      <c r="J221" s="32"/>
      <c r="K221" s="33"/>
      <c r="L221" s="34"/>
      <c r="N221" s="1"/>
      <c r="O221" s="1"/>
    </row>
    <row r="222" spans="2:15">
      <c r="B222" s="54"/>
      <c r="C222" s="55"/>
      <c r="D222" s="56"/>
      <c r="F222" s="39"/>
      <c r="G222" s="40"/>
      <c r="H222" s="41"/>
      <c r="J222" s="32"/>
      <c r="K222" s="33"/>
      <c r="L222" s="34"/>
      <c r="N222" s="1"/>
      <c r="O222" s="1"/>
    </row>
    <row r="223" spans="2:15">
      <c r="B223" s="57"/>
      <c r="C223" s="58"/>
      <c r="D223" s="59"/>
      <c r="F223" s="42"/>
      <c r="G223" s="43"/>
      <c r="H223" s="44"/>
      <c r="J223" s="35"/>
      <c r="K223" s="36"/>
      <c r="L223" s="37"/>
      <c r="N223" s="1"/>
      <c r="O223" s="1"/>
    </row>
  </sheetData>
  <mergeCells count="661">
    <mergeCell ref="B3:D4"/>
    <mergeCell ref="B5:D5"/>
    <mergeCell ref="B6:D6"/>
    <mergeCell ref="B7:D7"/>
    <mergeCell ref="B8:D8"/>
    <mergeCell ref="B9:D9"/>
    <mergeCell ref="B16:D16"/>
    <mergeCell ref="B17:D17"/>
    <mergeCell ref="B18:D18"/>
    <mergeCell ref="B19:D19"/>
    <mergeCell ref="B20:D20"/>
    <mergeCell ref="B21:D21"/>
    <mergeCell ref="B10:D10"/>
    <mergeCell ref="B11:D11"/>
    <mergeCell ref="B12:D12"/>
    <mergeCell ref="B13:D13"/>
    <mergeCell ref="B14:D14"/>
    <mergeCell ref="B15:D15"/>
    <mergeCell ref="B28:D28"/>
    <mergeCell ref="B29:D29"/>
    <mergeCell ref="B30:D30"/>
    <mergeCell ref="B31:D31"/>
    <mergeCell ref="B32:D32"/>
    <mergeCell ref="B33:D33"/>
    <mergeCell ref="B22:D22"/>
    <mergeCell ref="B23:D23"/>
    <mergeCell ref="B24:D24"/>
    <mergeCell ref="B25:D25"/>
    <mergeCell ref="B26:D26"/>
    <mergeCell ref="B27:D27"/>
    <mergeCell ref="B40:D40"/>
    <mergeCell ref="B41:D41"/>
    <mergeCell ref="B42:D42"/>
    <mergeCell ref="B43:D43"/>
    <mergeCell ref="B44:D44"/>
    <mergeCell ref="B45:D45"/>
    <mergeCell ref="B34:D34"/>
    <mergeCell ref="B35:D35"/>
    <mergeCell ref="B36:D36"/>
    <mergeCell ref="B37:D37"/>
    <mergeCell ref="B38:D38"/>
    <mergeCell ref="B39:D39"/>
    <mergeCell ref="B52:D52"/>
    <mergeCell ref="B53:D53"/>
    <mergeCell ref="B54:D54"/>
    <mergeCell ref="B55:D55"/>
    <mergeCell ref="B56:D56"/>
    <mergeCell ref="B57:D57"/>
    <mergeCell ref="B46:D46"/>
    <mergeCell ref="B47:D47"/>
    <mergeCell ref="B48:D48"/>
    <mergeCell ref="B49:D49"/>
    <mergeCell ref="B50:D50"/>
    <mergeCell ref="B51:D51"/>
    <mergeCell ref="B64:D64"/>
    <mergeCell ref="B65:D65"/>
    <mergeCell ref="B66:D66"/>
    <mergeCell ref="B67:D67"/>
    <mergeCell ref="B68:D68"/>
    <mergeCell ref="B69:D69"/>
    <mergeCell ref="B58:D58"/>
    <mergeCell ref="B59:D59"/>
    <mergeCell ref="B60:D60"/>
    <mergeCell ref="B61:D61"/>
    <mergeCell ref="B62:D62"/>
    <mergeCell ref="B63:D63"/>
    <mergeCell ref="B76:D76"/>
    <mergeCell ref="B77:D77"/>
    <mergeCell ref="B78:D78"/>
    <mergeCell ref="B79:D79"/>
    <mergeCell ref="B80:D80"/>
    <mergeCell ref="B81:D81"/>
    <mergeCell ref="B70:D70"/>
    <mergeCell ref="B71:D71"/>
    <mergeCell ref="B72:D72"/>
    <mergeCell ref="B73:D73"/>
    <mergeCell ref="B74:D74"/>
    <mergeCell ref="B75:D75"/>
    <mergeCell ref="B88:D88"/>
    <mergeCell ref="B89:D89"/>
    <mergeCell ref="B90:D90"/>
    <mergeCell ref="B91:D91"/>
    <mergeCell ref="B92:D92"/>
    <mergeCell ref="B93:D93"/>
    <mergeCell ref="B82:D82"/>
    <mergeCell ref="B83:D83"/>
    <mergeCell ref="B84:D84"/>
    <mergeCell ref="B85:D85"/>
    <mergeCell ref="B86:D86"/>
    <mergeCell ref="B87:D87"/>
    <mergeCell ref="B100:D100"/>
    <mergeCell ref="B101:D101"/>
    <mergeCell ref="B102:D102"/>
    <mergeCell ref="B103:D103"/>
    <mergeCell ref="B104:D104"/>
    <mergeCell ref="B105:D105"/>
    <mergeCell ref="B94:D94"/>
    <mergeCell ref="B95:D95"/>
    <mergeCell ref="B96:D96"/>
    <mergeCell ref="B97:D97"/>
    <mergeCell ref="B98:D98"/>
    <mergeCell ref="B99:D99"/>
    <mergeCell ref="B112:D112"/>
    <mergeCell ref="B113:D113"/>
    <mergeCell ref="B114:D114"/>
    <mergeCell ref="B115:D115"/>
    <mergeCell ref="B116:D116"/>
    <mergeCell ref="B117:D117"/>
    <mergeCell ref="B106:D106"/>
    <mergeCell ref="B107:D107"/>
    <mergeCell ref="B108:D108"/>
    <mergeCell ref="B109:D109"/>
    <mergeCell ref="B110:D110"/>
    <mergeCell ref="B111:D111"/>
    <mergeCell ref="B124:D124"/>
    <mergeCell ref="B125:D125"/>
    <mergeCell ref="B126:D126"/>
    <mergeCell ref="B127:D127"/>
    <mergeCell ref="B128:D128"/>
    <mergeCell ref="B129:D129"/>
    <mergeCell ref="B118:D118"/>
    <mergeCell ref="B119:D119"/>
    <mergeCell ref="B120:D120"/>
    <mergeCell ref="B121:D121"/>
    <mergeCell ref="B122:D122"/>
    <mergeCell ref="B123:D123"/>
    <mergeCell ref="B136:D136"/>
    <mergeCell ref="B137:D137"/>
    <mergeCell ref="B138:D138"/>
    <mergeCell ref="B139:D139"/>
    <mergeCell ref="B140:D140"/>
    <mergeCell ref="B141:D141"/>
    <mergeCell ref="B130:D130"/>
    <mergeCell ref="B131:D131"/>
    <mergeCell ref="B132:D132"/>
    <mergeCell ref="B133:D133"/>
    <mergeCell ref="B134:D134"/>
    <mergeCell ref="B135:D135"/>
    <mergeCell ref="B148:D148"/>
    <mergeCell ref="B149:D149"/>
    <mergeCell ref="B150:D150"/>
    <mergeCell ref="B151:D151"/>
    <mergeCell ref="B152:D152"/>
    <mergeCell ref="B153:D153"/>
    <mergeCell ref="B142:D142"/>
    <mergeCell ref="B143:D143"/>
    <mergeCell ref="B144:D144"/>
    <mergeCell ref="B145:D145"/>
    <mergeCell ref="B146:D146"/>
    <mergeCell ref="B147:D147"/>
    <mergeCell ref="B160:D160"/>
    <mergeCell ref="B161:D161"/>
    <mergeCell ref="B162:D162"/>
    <mergeCell ref="B163:D163"/>
    <mergeCell ref="B164:D164"/>
    <mergeCell ref="B165:D165"/>
    <mergeCell ref="B154:D154"/>
    <mergeCell ref="B155:D155"/>
    <mergeCell ref="B156:D156"/>
    <mergeCell ref="B157:D157"/>
    <mergeCell ref="B158:D158"/>
    <mergeCell ref="B159:D159"/>
    <mergeCell ref="B172:D172"/>
    <mergeCell ref="B173:D173"/>
    <mergeCell ref="B174:D174"/>
    <mergeCell ref="B175:D175"/>
    <mergeCell ref="B176:D176"/>
    <mergeCell ref="B177:D177"/>
    <mergeCell ref="B166:D166"/>
    <mergeCell ref="B167:D167"/>
    <mergeCell ref="B168:D168"/>
    <mergeCell ref="B169:D169"/>
    <mergeCell ref="B170:D170"/>
    <mergeCell ref="B171:D171"/>
    <mergeCell ref="B186:D186"/>
    <mergeCell ref="B187:D187"/>
    <mergeCell ref="B188:D188"/>
    <mergeCell ref="B189:D189"/>
    <mergeCell ref="B178:D178"/>
    <mergeCell ref="B179:D179"/>
    <mergeCell ref="B180:D180"/>
    <mergeCell ref="B181:D181"/>
    <mergeCell ref="B182:D182"/>
    <mergeCell ref="B183:D183"/>
    <mergeCell ref="B223:D223"/>
    <mergeCell ref="F3:H4"/>
    <mergeCell ref="F5:H5"/>
    <mergeCell ref="F6:H6"/>
    <mergeCell ref="F7:H7"/>
    <mergeCell ref="F8:H8"/>
    <mergeCell ref="F9:H9"/>
    <mergeCell ref="B214:D214"/>
    <mergeCell ref="B215:D215"/>
    <mergeCell ref="B216:D216"/>
    <mergeCell ref="B217:D217"/>
    <mergeCell ref="B218:D218"/>
    <mergeCell ref="B219:D219"/>
    <mergeCell ref="B208:D208"/>
    <mergeCell ref="B209:D209"/>
    <mergeCell ref="B210:D210"/>
    <mergeCell ref="B211:D211"/>
    <mergeCell ref="B212:D212"/>
    <mergeCell ref="B213:D213"/>
    <mergeCell ref="B202:D202"/>
    <mergeCell ref="B203:D203"/>
    <mergeCell ref="B204:D204"/>
    <mergeCell ref="B205:D205"/>
    <mergeCell ref="B206:D206"/>
    <mergeCell ref="F10:H10"/>
    <mergeCell ref="F11:H11"/>
    <mergeCell ref="F12:H12"/>
    <mergeCell ref="F13:H13"/>
    <mergeCell ref="F14:H14"/>
    <mergeCell ref="F15:H15"/>
    <mergeCell ref="B220:D220"/>
    <mergeCell ref="B221:D221"/>
    <mergeCell ref="B222:D222"/>
    <mergeCell ref="B207:D207"/>
    <mergeCell ref="B196:D196"/>
    <mergeCell ref="B197:D197"/>
    <mergeCell ref="B198:D198"/>
    <mergeCell ref="B199:D199"/>
    <mergeCell ref="B200:D200"/>
    <mergeCell ref="B201:D201"/>
    <mergeCell ref="B190:D190"/>
    <mergeCell ref="B191:D191"/>
    <mergeCell ref="B192:D192"/>
    <mergeCell ref="B193:D193"/>
    <mergeCell ref="B194:D194"/>
    <mergeCell ref="B195:D195"/>
    <mergeCell ref="B184:D184"/>
    <mergeCell ref="B185:D185"/>
    <mergeCell ref="F22:H22"/>
    <mergeCell ref="F23:H23"/>
    <mergeCell ref="F24:H24"/>
    <mergeCell ref="F25:H25"/>
    <mergeCell ref="F26:H26"/>
    <mergeCell ref="F27:H27"/>
    <mergeCell ref="F16:H16"/>
    <mergeCell ref="F17:H17"/>
    <mergeCell ref="F18:H18"/>
    <mergeCell ref="F19:H19"/>
    <mergeCell ref="F20:H20"/>
    <mergeCell ref="F21:H21"/>
    <mergeCell ref="F34:H34"/>
    <mergeCell ref="F35:H35"/>
    <mergeCell ref="F36:H36"/>
    <mergeCell ref="F37:H37"/>
    <mergeCell ref="F38:H38"/>
    <mergeCell ref="F39:H39"/>
    <mergeCell ref="F28:H28"/>
    <mergeCell ref="F29:H29"/>
    <mergeCell ref="F30:H30"/>
    <mergeCell ref="F31:H31"/>
    <mergeCell ref="F32:H32"/>
    <mergeCell ref="F33:H33"/>
    <mergeCell ref="F46:H46"/>
    <mergeCell ref="F47:H47"/>
    <mergeCell ref="F48:H48"/>
    <mergeCell ref="F49:H49"/>
    <mergeCell ref="F50:H50"/>
    <mergeCell ref="F51:H51"/>
    <mergeCell ref="F40:H40"/>
    <mergeCell ref="F41:H41"/>
    <mergeCell ref="F42:H42"/>
    <mergeCell ref="F43:H43"/>
    <mergeCell ref="F44:H44"/>
    <mergeCell ref="F45:H45"/>
    <mergeCell ref="F58:H58"/>
    <mergeCell ref="F59:H59"/>
    <mergeCell ref="F60:H60"/>
    <mergeCell ref="F61:H61"/>
    <mergeCell ref="F62:H62"/>
    <mergeCell ref="F63:H63"/>
    <mergeCell ref="F52:H52"/>
    <mergeCell ref="F53:H53"/>
    <mergeCell ref="F54:H54"/>
    <mergeCell ref="F55:H55"/>
    <mergeCell ref="F56:H56"/>
    <mergeCell ref="F57:H57"/>
    <mergeCell ref="F70:H70"/>
    <mergeCell ref="F71:H71"/>
    <mergeCell ref="F72:H72"/>
    <mergeCell ref="F73:H73"/>
    <mergeCell ref="F74:H74"/>
    <mergeCell ref="F75:H75"/>
    <mergeCell ref="F64:H64"/>
    <mergeCell ref="F65:H65"/>
    <mergeCell ref="F66:H66"/>
    <mergeCell ref="F67:H67"/>
    <mergeCell ref="F68:H68"/>
    <mergeCell ref="F69:H69"/>
    <mergeCell ref="F82:H82"/>
    <mergeCell ref="F83:H83"/>
    <mergeCell ref="F84:H84"/>
    <mergeCell ref="F85:H85"/>
    <mergeCell ref="F86:H86"/>
    <mergeCell ref="F87:H87"/>
    <mergeCell ref="F76:H76"/>
    <mergeCell ref="F77:H77"/>
    <mergeCell ref="F78:H78"/>
    <mergeCell ref="F79:H79"/>
    <mergeCell ref="F80:H80"/>
    <mergeCell ref="F81:H81"/>
    <mergeCell ref="F94:H94"/>
    <mergeCell ref="F95:H95"/>
    <mergeCell ref="F96:H96"/>
    <mergeCell ref="F97:H97"/>
    <mergeCell ref="F98:H98"/>
    <mergeCell ref="F99:H99"/>
    <mergeCell ref="F88:H88"/>
    <mergeCell ref="F89:H89"/>
    <mergeCell ref="F90:H90"/>
    <mergeCell ref="F91:H91"/>
    <mergeCell ref="F92:H92"/>
    <mergeCell ref="F93:H93"/>
    <mergeCell ref="F106:H106"/>
    <mergeCell ref="F107:H107"/>
    <mergeCell ref="F108:H108"/>
    <mergeCell ref="F109:H109"/>
    <mergeCell ref="F110:H110"/>
    <mergeCell ref="F111:H111"/>
    <mergeCell ref="F100:H100"/>
    <mergeCell ref="F101:H101"/>
    <mergeCell ref="F102:H102"/>
    <mergeCell ref="F103:H103"/>
    <mergeCell ref="F104:H104"/>
    <mergeCell ref="F105:H105"/>
    <mergeCell ref="F118:H118"/>
    <mergeCell ref="F119:H119"/>
    <mergeCell ref="F120:H120"/>
    <mergeCell ref="F121:H121"/>
    <mergeCell ref="F122:H122"/>
    <mergeCell ref="F123:H123"/>
    <mergeCell ref="F112:H112"/>
    <mergeCell ref="F113:H113"/>
    <mergeCell ref="F114:H114"/>
    <mergeCell ref="F115:H115"/>
    <mergeCell ref="F116:H116"/>
    <mergeCell ref="F117:H117"/>
    <mergeCell ref="F130:H130"/>
    <mergeCell ref="F131:H131"/>
    <mergeCell ref="F132:H132"/>
    <mergeCell ref="F133:H133"/>
    <mergeCell ref="F134:H134"/>
    <mergeCell ref="F135:H135"/>
    <mergeCell ref="F124:H124"/>
    <mergeCell ref="F125:H125"/>
    <mergeCell ref="F126:H126"/>
    <mergeCell ref="F127:H127"/>
    <mergeCell ref="F128:H128"/>
    <mergeCell ref="F129:H129"/>
    <mergeCell ref="F142:H142"/>
    <mergeCell ref="F143:H143"/>
    <mergeCell ref="F144:H144"/>
    <mergeCell ref="F145:H145"/>
    <mergeCell ref="F146:H146"/>
    <mergeCell ref="F147:H147"/>
    <mergeCell ref="F136:H136"/>
    <mergeCell ref="F137:H137"/>
    <mergeCell ref="F138:H138"/>
    <mergeCell ref="F139:H139"/>
    <mergeCell ref="F140:H140"/>
    <mergeCell ref="F141:H141"/>
    <mergeCell ref="F154:H154"/>
    <mergeCell ref="F155:H155"/>
    <mergeCell ref="F156:H156"/>
    <mergeCell ref="F157:H157"/>
    <mergeCell ref="F158:H158"/>
    <mergeCell ref="F159:H159"/>
    <mergeCell ref="F148:H148"/>
    <mergeCell ref="F149:H149"/>
    <mergeCell ref="F150:H150"/>
    <mergeCell ref="F151:H151"/>
    <mergeCell ref="F152:H152"/>
    <mergeCell ref="F153:H153"/>
    <mergeCell ref="F166:H166"/>
    <mergeCell ref="F167:H167"/>
    <mergeCell ref="F168:H168"/>
    <mergeCell ref="F169:H169"/>
    <mergeCell ref="F170:H170"/>
    <mergeCell ref="F171:H171"/>
    <mergeCell ref="F160:H160"/>
    <mergeCell ref="F161:H161"/>
    <mergeCell ref="F162:H162"/>
    <mergeCell ref="F163:H163"/>
    <mergeCell ref="F164:H164"/>
    <mergeCell ref="F165:H165"/>
    <mergeCell ref="F178:H178"/>
    <mergeCell ref="F179:H179"/>
    <mergeCell ref="F180:H180"/>
    <mergeCell ref="F181:H181"/>
    <mergeCell ref="F182:H182"/>
    <mergeCell ref="F183:H183"/>
    <mergeCell ref="F172:H172"/>
    <mergeCell ref="F173:H173"/>
    <mergeCell ref="F174:H174"/>
    <mergeCell ref="F175:H175"/>
    <mergeCell ref="F176:H176"/>
    <mergeCell ref="F177:H177"/>
    <mergeCell ref="F190:H190"/>
    <mergeCell ref="F191:H191"/>
    <mergeCell ref="F192:H192"/>
    <mergeCell ref="F193:H193"/>
    <mergeCell ref="F194:H194"/>
    <mergeCell ref="F195:H195"/>
    <mergeCell ref="F184:H184"/>
    <mergeCell ref="F185:H185"/>
    <mergeCell ref="F186:H186"/>
    <mergeCell ref="F187:H187"/>
    <mergeCell ref="F188:H188"/>
    <mergeCell ref="F189:H189"/>
    <mergeCell ref="F204:H204"/>
    <mergeCell ref="F205:H205"/>
    <mergeCell ref="F206:H206"/>
    <mergeCell ref="F207:H207"/>
    <mergeCell ref="F196:H196"/>
    <mergeCell ref="F197:H197"/>
    <mergeCell ref="F198:H198"/>
    <mergeCell ref="F199:H199"/>
    <mergeCell ref="F200:H200"/>
    <mergeCell ref="F201:H201"/>
    <mergeCell ref="F220:H220"/>
    <mergeCell ref="F221:H221"/>
    <mergeCell ref="F222:H222"/>
    <mergeCell ref="F223:H223"/>
    <mergeCell ref="J3:L4"/>
    <mergeCell ref="J5:L5"/>
    <mergeCell ref="J6:L6"/>
    <mergeCell ref="J7:L7"/>
    <mergeCell ref="J8:L8"/>
    <mergeCell ref="J9:L9"/>
    <mergeCell ref="F214:H214"/>
    <mergeCell ref="F215:H215"/>
    <mergeCell ref="F216:H216"/>
    <mergeCell ref="F217:H217"/>
    <mergeCell ref="F218:H218"/>
    <mergeCell ref="F219:H219"/>
    <mergeCell ref="F208:H208"/>
    <mergeCell ref="F209:H209"/>
    <mergeCell ref="F210:H210"/>
    <mergeCell ref="F211:H211"/>
    <mergeCell ref="F212:H212"/>
    <mergeCell ref="F213:H213"/>
    <mergeCell ref="F202:H202"/>
    <mergeCell ref="F203:H203"/>
    <mergeCell ref="J16:L16"/>
    <mergeCell ref="J17:L17"/>
    <mergeCell ref="J18:L18"/>
    <mergeCell ref="J19:L19"/>
    <mergeCell ref="J20:L20"/>
    <mergeCell ref="J21:L21"/>
    <mergeCell ref="J10:L10"/>
    <mergeCell ref="J11:L11"/>
    <mergeCell ref="J12:L12"/>
    <mergeCell ref="J13:L13"/>
    <mergeCell ref="J14:L14"/>
    <mergeCell ref="J15:L15"/>
    <mergeCell ref="J28:L28"/>
    <mergeCell ref="J29:L29"/>
    <mergeCell ref="J30:L30"/>
    <mergeCell ref="J31:L31"/>
    <mergeCell ref="J32:L32"/>
    <mergeCell ref="J33:L33"/>
    <mergeCell ref="J22:L22"/>
    <mergeCell ref="J23:L23"/>
    <mergeCell ref="J24:L24"/>
    <mergeCell ref="J25:L25"/>
    <mergeCell ref="J26:L26"/>
    <mergeCell ref="J27:L27"/>
    <mergeCell ref="J40:L40"/>
    <mergeCell ref="J41:L41"/>
    <mergeCell ref="J42:L42"/>
    <mergeCell ref="J43:L43"/>
    <mergeCell ref="J44:L44"/>
    <mergeCell ref="J45:L45"/>
    <mergeCell ref="J34:L34"/>
    <mergeCell ref="J35:L35"/>
    <mergeCell ref="J36:L36"/>
    <mergeCell ref="J37:L37"/>
    <mergeCell ref="J38:L38"/>
    <mergeCell ref="J39:L39"/>
    <mergeCell ref="J52:L52"/>
    <mergeCell ref="J53:L53"/>
    <mergeCell ref="J54:L54"/>
    <mergeCell ref="J55:L55"/>
    <mergeCell ref="J56:L56"/>
    <mergeCell ref="J57:L57"/>
    <mergeCell ref="J46:L46"/>
    <mergeCell ref="J47:L47"/>
    <mergeCell ref="J48:L48"/>
    <mergeCell ref="J49:L49"/>
    <mergeCell ref="J50:L50"/>
    <mergeCell ref="J51:L51"/>
    <mergeCell ref="J64:L64"/>
    <mergeCell ref="J65:L65"/>
    <mergeCell ref="J66:L66"/>
    <mergeCell ref="J67:L67"/>
    <mergeCell ref="J68:L68"/>
    <mergeCell ref="J69:L69"/>
    <mergeCell ref="J58:L58"/>
    <mergeCell ref="J59:L59"/>
    <mergeCell ref="J60:L60"/>
    <mergeCell ref="J61:L61"/>
    <mergeCell ref="J62:L62"/>
    <mergeCell ref="J63:L63"/>
    <mergeCell ref="J76:L76"/>
    <mergeCell ref="J77:L77"/>
    <mergeCell ref="J78:L78"/>
    <mergeCell ref="J79:L79"/>
    <mergeCell ref="J80:L80"/>
    <mergeCell ref="J81:L81"/>
    <mergeCell ref="J70:L70"/>
    <mergeCell ref="J71:L71"/>
    <mergeCell ref="J72:L72"/>
    <mergeCell ref="J73:L73"/>
    <mergeCell ref="J74:L74"/>
    <mergeCell ref="J75:L75"/>
    <mergeCell ref="J88:L88"/>
    <mergeCell ref="J89:L89"/>
    <mergeCell ref="J90:L90"/>
    <mergeCell ref="J91:L91"/>
    <mergeCell ref="J92:L92"/>
    <mergeCell ref="J93:L93"/>
    <mergeCell ref="J82:L82"/>
    <mergeCell ref="J83:L83"/>
    <mergeCell ref="J84:L84"/>
    <mergeCell ref="J85:L85"/>
    <mergeCell ref="J86:L86"/>
    <mergeCell ref="J87:L87"/>
    <mergeCell ref="J100:L100"/>
    <mergeCell ref="J101:L101"/>
    <mergeCell ref="J102:L102"/>
    <mergeCell ref="J103:L103"/>
    <mergeCell ref="J104:L104"/>
    <mergeCell ref="J105:L105"/>
    <mergeCell ref="J94:L94"/>
    <mergeCell ref="J95:L95"/>
    <mergeCell ref="J96:L96"/>
    <mergeCell ref="J97:L97"/>
    <mergeCell ref="J98:L98"/>
    <mergeCell ref="J99:L99"/>
    <mergeCell ref="J112:L112"/>
    <mergeCell ref="J113:L113"/>
    <mergeCell ref="J114:L114"/>
    <mergeCell ref="J115:L115"/>
    <mergeCell ref="J116:L116"/>
    <mergeCell ref="J117:L117"/>
    <mergeCell ref="J106:L106"/>
    <mergeCell ref="J107:L107"/>
    <mergeCell ref="J108:L108"/>
    <mergeCell ref="J109:L109"/>
    <mergeCell ref="J110:L110"/>
    <mergeCell ref="J111:L111"/>
    <mergeCell ref="J124:L124"/>
    <mergeCell ref="J125:L125"/>
    <mergeCell ref="J126:L126"/>
    <mergeCell ref="J127:L127"/>
    <mergeCell ref="J128:L128"/>
    <mergeCell ref="J129:L129"/>
    <mergeCell ref="J118:L118"/>
    <mergeCell ref="J119:L119"/>
    <mergeCell ref="J120:L120"/>
    <mergeCell ref="J121:L121"/>
    <mergeCell ref="J122:L122"/>
    <mergeCell ref="J123:L123"/>
    <mergeCell ref="J136:L136"/>
    <mergeCell ref="J137:L137"/>
    <mergeCell ref="J138:L138"/>
    <mergeCell ref="J139:L139"/>
    <mergeCell ref="J140:L140"/>
    <mergeCell ref="J141:L141"/>
    <mergeCell ref="J130:L130"/>
    <mergeCell ref="J131:L131"/>
    <mergeCell ref="J132:L132"/>
    <mergeCell ref="J133:L133"/>
    <mergeCell ref="J134:L134"/>
    <mergeCell ref="J135:L135"/>
    <mergeCell ref="J148:L148"/>
    <mergeCell ref="J149:L149"/>
    <mergeCell ref="J150:L150"/>
    <mergeCell ref="J151:L151"/>
    <mergeCell ref="J152:L152"/>
    <mergeCell ref="J153:L153"/>
    <mergeCell ref="J142:L142"/>
    <mergeCell ref="J143:L143"/>
    <mergeCell ref="J144:L144"/>
    <mergeCell ref="J145:L145"/>
    <mergeCell ref="J146:L146"/>
    <mergeCell ref="J147:L147"/>
    <mergeCell ref="J160:L160"/>
    <mergeCell ref="J161:L161"/>
    <mergeCell ref="J162:L162"/>
    <mergeCell ref="J163:L163"/>
    <mergeCell ref="J164:L164"/>
    <mergeCell ref="J165:L165"/>
    <mergeCell ref="J154:L154"/>
    <mergeCell ref="J155:L155"/>
    <mergeCell ref="J156:L156"/>
    <mergeCell ref="J157:L157"/>
    <mergeCell ref="J158:L158"/>
    <mergeCell ref="J159:L159"/>
    <mergeCell ref="J172:L172"/>
    <mergeCell ref="J173:L173"/>
    <mergeCell ref="J174:L174"/>
    <mergeCell ref="J175:L175"/>
    <mergeCell ref="J176:L176"/>
    <mergeCell ref="J177:L177"/>
    <mergeCell ref="J166:L166"/>
    <mergeCell ref="J167:L167"/>
    <mergeCell ref="J168:L168"/>
    <mergeCell ref="J169:L169"/>
    <mergeCell ref="J170:L170"/>
    <mergeCell ref="J171:L171"/>
    <mergeCell ref="J184:L184"/>
    <mergeCell ref="J185:L185"/>
    <mergeCell ref="J186:L186"/>
    <mergeCell ref="J187:L187"/>
    <mergeCell ref="J188:L188"/>
    <mergeCell ref="J189:L189"/>
    <mergeCell ref="J178:L178"/>
    <mergeCell ref="J179:L179"/>
    <mergeCell ref="J180:L180"/>
    <mergeCell ref="J181:L181"/>
    <mergeCell ref="J182:L182"/>
    <mergeCell ref="J183:L183"/>
    <mergeCell ref="J197:L197"/>
    <mergeCell ref="J198:L198"/>
    <mergeCell ref="J199:L199"/>
    <mergeCell ref="J200:L200"/>
    <mergeCell ref="J201:L201"/>
    <mergeCell ref="J190:L190"/>
    <mergeCell ref="J191:L191"/>
    <mergeCell ref="J192:L192"/>
    <mergeCell ref="J193:L193"/>
    <mergeCell ref="J194:L194"/>
    <mergeCell ref="J195:L195"/>
    <mergeCell ref="J220:L220"/>
    <mergeCell ref="J221:L221"/>
    <mergeCell ref="J222:L222"/>
    <mergeCell ref="J223:L223"/>
    <mergeCell ref="N3:O4"/>
    <mergeCell ref="J214:L214"/>
    <mergeCell ref="J215:L215"/>
    <mergeCell ref="J216:L216"/>
    <mergeCell ref="J217:L217"/>
    <mergeCell ref="J218:L218"/>
    <mergeCell ref="J219:L219"/>
    <mergeCell ref="J208:L208"/>
    <mergeCell ref="J209:L209"/>
    <mergeCell ref="J210:L210"/>
    <mergeCell ref="J211:L211"/>
    <mergeCell ref="J212:L212"/>
    <mergeCell ref="J213:L213"/>
    <mergeCell ref="J202:L202"/>
    <mergeCell ref="J203:L203"/>
    <mergeCell ref="J204:L204"/>
    <mergeCell ref="J205:L205"/>
    <mergeCell ref="J206:L206"/>
    <mergeCell ref="J207:L207"/>
    <mergeCell ref="J196:L196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Veldhuis</dc:creator>
  <cp:lastModifiedBy>Andrew Veldhuis</cp:lastModifiedBy>
  <dcterms:created xsi:type="dcterms:W3CDTF">2016-10-31T22:08:08Z</dcterms:created>
  <dcterms:modified xsi:type="dcterms:W3CDTF">2016-11-07T23:25:44Z</dcterms:modified>
</cp:coreProperties>
</file>